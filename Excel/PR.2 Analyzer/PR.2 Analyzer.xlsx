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SH PATEL\OneDrive\Desktop\Red &amp; White\Excel\PR.2 Analyzer\"/>
    </mc:Choice>
  </mc:AlternateContent>
  <xr:revisionPtr revIDLastSave="0" documentId="13_ncr:1_{34180072-4CA8-4BA8-84C8-7832D4E6D065}" xr6:coauthVersionLast="47" xr6:coauthVersionMax="47" xr10:uidLastSave="{00000000-0000-0000-0000-000000000000}"/>
  <bookViews>
    <workbookView xWindow="-108" yWindow="-108" windowWidth="23256" windowHeight="12456" activeTab="8" xr2:uid="{BD999354-AF3C-41A0-8BE4-356DE6FC858D}"/>
  </bookViews>
  <sheets>
    <sheet name="Sheet1" sheetId="1" r:id="rId1"/>
    <sheet name="Q.1 &amp; Q.7" sheetId="2" r:id="rId2"/>
    <sheet name="Q.2" sheetId="3" r:id="rId3"/>
    <sheet name="Q.3" sheetId="6" r:id="rId4"/>
    <sheet name="Q.4" sheetId="9" r:id="rId5"/>
    <sheet name="Q.5" sheetId="10" r:id="rId6"/>
    <sheet name="Q.6" sheetId="7" r:id="rId7"/>
    <sheet name="Q.8 &amp; Q.9" sheetId="12" r:id="rId8"/>
    <sheet name="Q.10" sheetId="11" r:id="rId9"/>
  </sheets>
  <externalReferences>
    <externalReference r:id="rId10"/>
  </externalReferences>
  <definedNames>
    <definedName name="_xlnm._FilterDatabase" localSheetId="0" hidden="1">Sheet1!$A$1:$I$201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1" l="1"/>
  <c r="D55" i="11"/>
  <c r="B55" i="11"/>
  <c r="A55" i="11"/>
  <c r="E54" i="11"/>
  <c r="D54" i="11"/>
  <c r="B54" i="11"/>
  <c r="A54" i="11"/>
  <c r="E53" i="11"/>
  <c r="D53" i="11"/>
  <c r="B53" i="11"/>
  <c r="A53" i="11"/>
  <c r="E52" i="11"/>
  <c r="A41" i="11" s="1"/>
  <c r="D52" i="11"/>
  <c r="B52" i="11"/>
  <c r="A40" i="11" s="1"/>
  <c r="A52" i="11"/>
  <c r="E51" i="11"/>
  <c r="D51" i="11"/>
  <c r="B51" i="11"/>
  <c r="A51" i="11"/>
  <c r="A44" i="11"/>
  <c r="A43" i="11"/>
  <c r="A42" i="11"/>
  <c r="J28" i="11"/>
  <c r="H28" i="11"/>
  <c r="J27" i="11"/>
  <c r="H27" i="11"/>
  <c r="J26" i="11"/>
  <c r="H26" i="11"/>
  <c r="J25" i="11"/>
  <c r="H25" i="11"/>
  <c r="J24" i="11"/>
  <c r="H24" i="11"/>
  <c r="K4" i="11"/>
  <c r="A39" i="11" s="1"/>
  <c r="I4" i="11"/>
  <c r="G4" i="11"/>
  <c r="E4" i="11"/>
  <c r="C4" i="11"/>
  <c r="A4" i="11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I11" i="2"/>
  <c r="I10" i="2"/>
  <c r="I9" i="2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" i="7"/>
  <c r="C18" i="10"/>
  <c r="C17" i="10"/>
  <c r="C16" i="10"/>
  <c r="C15" i="10"/>
  <c r="C6" i="10"/>
  <c r="C7" i="10"/>
  <c r="C8" i="10"/>
  <c r="C9" i="10"/>
  <c r="C10" i="10"/>
  <c r="C11" i="10"/>
  <c r="C12" i="10"/>
  <c r="C5" i="10"/>
  <c r="B14" i="3" l="1"/>
  <c r="C14" i="3" s="1"/>
  <c r="B13" i="3"/>
  <c r="C13" i="3" s="1"/>
  <c r="B12" i="3"/>
  <c r="C12" i="3" s="1"/>
  <c r="B11" i="3"/>
  <c r="C11" i="3" s="1"/>
  <c r="B10" i="3"/>
  <c r="C10" i="3" s="1"/>
  <c r="B9" i="3"/>
  <c r="C9" i="3" s="1"/>
  <c r="B5" i="3"/>
  <c r="B3" i="3" a="1"/>
  <c r="B3" i="3" s="1"/>
  <c r="B4" i="3" s="1"/>
  <c r="B2" i="3"/>
  <c r="E9" i="3" l="1"/>
  <c r="D9" i="3"/>
  <c r="E10" i="3"/>
  <c r="D10" i="3"/>
  <c r="E11" i="3"/>
  <c r="D11" i="3"/>
  <c r="E12" i="3"/>
  <c r="D12" i="3"/>
  <c r="E13" i="3"/>
  <c r="D13" i="3"/>
  <c r="E14" i="3"/>
  <c r="D14" i="3"/>
  <c r="B3" i="2" l="1"/>
  <c r="E3" i="2" s="1"/>
  <c r="B4" i="2"/>
  <c r="E4" i="2" s="1"/>
  <c r="B5" i="2"/>
  <c r="E5" i="2" s="1"/>
  <c r="B6" i="2"/>
  <c r="E6" i="2" s="1"/>
  <c r="B7" i="2"/>
  <c r="E7" i="2" s="1"/>
  <c r="B8" i="2"/>
  <c r="E8" i="2" s="1"/>
  <c r="B9" i="2"/>
  <c r="E9" i="2" s="1"/>
  <c r="B10" i="2"/>
  <c r="E10" i="2" s="1"/>
  <c r="B11" i="2"/>
  <c r="B12" i="2"/>
  <c r="E12" i="2" s="1"/>
  <c r="B13" i="2"/>
  <c r="B14" i="2"/>
  <c r="E14" i="2" s="1"/>
  <c r="B15" i="2"/>
  <c r="E15" i="2" s="1"/>
  <c r="B16" i="2"/>
  <c r="B17" i="2"/>
  <c r="E17" i="2" s="1"/>
  <c r="B18" i="2"/>
  <c r="E18" i="2" s="1"/>
  <c r="B19" i="2"/>
  <c r="E19" i="2" s="1"/>
  <c r="B20" i="2"/>
  <c r="E20" i="2" s="1"/>
  <c r="B21" i="2"/>
  <c r="E21" i="2" s="1"/>
  <c r="B22" i="2"/>
  <c r="E22" i="2" s="1"/>
  <c r="B23" i="2"/>
  <c r="E23" i="2" s="1"/>
  <c r="B24" i="2"/>
  <c r="E24" i="2" s="1"/>
  <c r="B25" i="2"/>
  <c r="E25" i="2" s="1"/>
  <c r="B26" i="2"/>
  <c r="B27" i="2"/>
  <c r="B28" i="2"/>
  <c r="E28" i="2" s="1"/>
  <c r="B29" i="2"/>
  <c r="B30" i="2"/>
  <c r="E30" i="2" s="1"/>
  <c r="B31" i="2"/>
  <c r="E31" i="2" s="1"/>
  <c r="B2" i="2"/>
  <c r="C31" i="2"/>
  <c r="C30" i="2"/>
  <c r="C29" i="2"/>
  <c r="E29" i="2"/>
  <c r="C28" i="2"/>
  <c r="C27" i="2"/>
  <c r="E27" i="2"/>
  <c r="E26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E13" i="2"/>
  <c r="C12" i="2"/>
  <c r="C11" i="2"/>
  <c r="E11" i="2"/>
  <c r="C10" i="2"/>
  <c r="C9" i="2"/>
  <c r="C8" i="2"/>
  <c r="C7" i="2"/>
  <c r="C6" i="2"/>
  <c r="C5" i="2"/>
  <c r="C4" i="2"/>
  <c r="C3" i="2"/>
  <c r="E2" i="2"/>
  <c r="C2" i="2"/>
  <c r="D2" i="2" l="1"/>
  <c r="D10" i="2"/>
  <c r="E16" i="2"/>
  <c r="D26" i="2"/>
  <c r="D6" i="2"/>
  <c r="D14" i="2"/>
  <c r="D22" i="2"/>
  <c r="D30" i="2"/>
  <c r="D18" i="2"/>
  <c r="D3" i="2"/>
  <c r="D7" i="2"/>
  <c r="D11" i="2"/>
  <c r="D15" i="2"/>
  <c r="D19" i="2"/>
  <c r="D23" i="2"/>
  <c r="D27" i="2"/>
  <c r="D31" i="2"/>
  <c r="D4" i="2"/>
  <c r="D8" i="2"/>
  <c r="D12" i="2"/>
  <c r="D16" i="2"/>
  <c r="D20" i="2"/>
  <c r="D24" i="2"/>
  <c r="D28" i="2"/>
  <c r="D5" i="2"/>
  <c r="D9" i="2"/>
  <c r="D13" i="2"/>
  <c r="D17" i="2"/>
  <c r="D21" i="2"/>
  <c r="D25" i="2"/>
  <c r="D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<sst xmlns="http://schemas.openxmlformats.org/spreadsheetml/2006/main" count="1810" uniqueCount="160">
  <si>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</si>
  <si>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</si>
  <si>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</si>
  <si>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</si>
  <si>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</si>
  <si>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</si>
  <si>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</si>
  <si>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</si>
  <si>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</si>
  <si>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</si>
  <si>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</si>
  <si>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</si>
  <si>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</si>
  <si>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</si>
  <si>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</si>
  <si>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</si>
  <si>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</si>
  <si>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</si>
  <si>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</si>
  <si>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</si>
  <si>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</si>
  <si>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</si>
  <si>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</si>
  <si>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</si>
  <si>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</si>
  <si>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</si>
  <si>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</si>
  <si>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</si>
  <si>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</si>
  <si>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</si>
  <si>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</si>
  <si>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</si>
  <si>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</si>
  <si>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</si>
  <si>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</si>
  <si>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</si>
  <si>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</si>
  <si>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</si>
  <si>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</si>
  <si>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</si>
  <si>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</si>
  <si>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</si>
  <si>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</si>
  <si>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</si>
  <si>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</si>
  <si>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</si>
  <si>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</si>
  <si>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</si>
  <si>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</si>
  <si>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</si>
  <si>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</si>
  <si>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</si>
  <si>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</si>
  <si>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</si>
  <si>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</si>
  <si>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</si>
  <si>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</si>
  <si>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</si>
  <si>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</si>
  <si>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</si>
  <si>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</si>
  <si>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</si>
  <si>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</si>
  <si>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</si>
  <si>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</si>
  <si>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</si>
  <si>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</si>
  <si>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</si>
  <si>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</si>
  <si>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</si>
  <si>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</si>
  <si>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</si>
  <si>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</si>
  <si>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</si>
  <si>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</si>
  <si>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</si>
  <si>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Total_Purchase</t>
  </si>
  <si>
    <t>Orders</t>
  </si>
  <si>
    <t>Rank</t>
  </si>
  <si>
    <t>Status</t>
  </si>
  <si>
    <t>New Discount (input)</t>
  </si>
  <si>
    <t>Current Total Profit</t>
  </si>
  <si>
    <t>Profit at New Discount</t>
  </si>
  <si>
    <t>Change in Profit</t>
  </si>
  <si>
    <t>Current Average Discount</t>
  </si>
  <si>
    <t>Total Sales</t>
  </si>
  <si>
    <t>Total Profit</t>
  </si>
  <si>
    <t>Change vs Current</t>
  </si>
  <si>
    <t>Profit Margin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</si>
  <si>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</si>
  <si>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</si>
  <si>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</si>
  <si>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</si>
  <si>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</si>
  <si>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</si>
  <si>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</si>
  <si>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</si>
  <si>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</si>
  <si>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</si>
  <si>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</si>
  <si>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</si>
  <si>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</si>
  <si>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</si>
  <si>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</si>
  <si>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</si>
  <si>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</si>
  <si>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</si>
  <si>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</si>
  <si>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</si>
  <si>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</si>
  <si>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</si>
  <si>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</si>
  <si>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</si>
  <si>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</si>
  <si>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</si>
  <si>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</si>
  <si>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</si>
  <si>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</si>
  <si>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</si>
  <si>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</si>
  <si>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</si>
  <si>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</si>
  <si>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</si>
  <si>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</si>
  <si>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</si>
  <si>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</si>
  <si>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</si>
  <si>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2024</t>
  </si>
  <si>
    <t>2025</t>
  </si>
  <si>
    <t>Sum of Sales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</si>
  <si>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</si>
  <si>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</si>
  <si>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</si>
  <si>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</si>
  <si>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</si>
  <si>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</si>
  <si>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</si>
  <si>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</si>
  <si>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</si>
  <si>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</si>
  <si>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</si>
  <si>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</si>
  <si>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Month's Sales</t>
  </si>
  <si>
    <t>Timestamp Column</t>
  </si>
  <si>
    <t>Task 7 – High-value settings</t>
  </si>
  <si>
    <t>High Value Limit (≥)</t>
  </si>
  <si>
    <t>INDEX/MATCH lookup</t>
  </si>
  <si>
    <t>Customer ID</t>
  </si>
  <si>
    <t>Total Purchase</t>
  </si>
  <si>
    <t>High-value customer list (auto, via LARGE + INDEX + MATCH)</t>
  </si>
  <si>
    <t/>
  </si>
  <si>
    <t>SALES &amp; PROFIT DASHBOARD</t>
  </si>
  <si>
    <t>Total Orders</t>
  </si>
  <si>
    <t>Avg Discount</t>
  </si>
  <si>
    <t>Top Customer</t>
  </si>
  <si>
    <t>Top 5 Customers (by total purchase)</t>
  </si>
  <si>
    <t>Customer</t>
  </si>
  <si>
    <t>KEY INSIGHTS (update automatically)</t>
  </si>
  <si>
    <t>Chart data (linked to other sheets)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</si>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</sst>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F800]dddd\,\ mmmm\ dd\,\ yyyy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i/>
      <sz val="11"/>
      <color theme="0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b/>
      <sz val="18"/>
      <color rgb="FFFFFFFF"/>
      <name val="Arial"/>
      <family val="2"/>
    </font>
    <font>
      <b/>
      <sz val="16"/>
      <color rgb="FF1F3864"/>
      <name val="Arial"/>
      <family val="2"/>
    </font>
    <font>
      <b/>
      <sz val="10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2CC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rgb="FF156082"/>
      </patternFill>
    </fill>
    <fill>
      <patternFill patternType="solid">
        <fgColor rgb="FFD9E2F3"/>
        <bgColor rgb="FFD9D9D9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4" fontId="3" fillId="0" borderId="2" xfId="0" applyNumberFormat="1" applyFont="1" applyBorder="1"/>
    <xf numFmtId="0" fontId="4" fillId="0" borderId="0" xfId="0" applyFont="1"/>
    <xf numFmtId="9" fontId="5" fillId="3" borderId="2" xfId="0" applyNumberFormat="1" applyFont="1" applyFill="1" applyBorder="1"/>
    <xf numFmtId="10" fontId="0" fillId="0" borderId="0" xfId="0" applyNumberFormat="1"/>
    <xf numFmtId="9" fontId="0" fillId="0" borderId="0" xfId="0" applyNumberFormat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6" fillId="4" borderId="1" xfId="0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9" fontId="0" fillId="0" borderId="0" xfId="0" applyNumberFormat="1"/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9" fontId="9" fillId="0" borderId="2" xfId="0" applyNumberFormat="1" applyFont="1" applyBorder="1"/>
    <xf numFmtId="40" fontId="7" fillId="0" borderId="2" xfId="0" applyNumberFormat="1" applyFont="1" applyBorder="1"/>
    <xf numFmtId="164" fontId="7" fillId="0" borderId="2" xfId="0" applyNumberFormat="1" applyFont="1" applyBorder="1"/>
    <xf numFmtId="0" fontId="0" fillId="0" borderId="3" xfId="0" applyBorder="1"/>
    <xf numFmtId="0" fontId="10" fillId="0" borderId="4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2" fillId="0" borderId="3" xfId="0" applyFont="1" applyBorder="1"/>
    <xf numFmtId="0" fontId="15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2" fontId="0" fillId="0" borderId="0" xfId="0" applyNumberFormat="1"/>
    <xf numFmtId="0" fontId="17" fillId="0" borderId="0" xfId="0" applyFont="1"/>
    <xf numFmtId="0" fontId="16" fillId="0" borderId="0" xfId="0" applyFont="1"/>
    <xf numFmtId="3" fontId="18" fillId="3" borderId="2" xfId="0" applyNumberFormat="1" applyFont="1" applyFill="1" applyBorder="1"/>
    <xf numFmtId="0" fontId="18" fillId="3" borderId="2" xfId="0" applyFont="1" applyFill="1" applyBorder="1"/>
    <xf numFmtId="4" fontId="16" fillId="0" borderId="0" xfId="0" applyNumberFormat="1" applyFont="1"/>
    <xf numFmtId="0" fontId="7" fillId="0" borderId="2" xfId="0" applyFont="1" applyBorder="1"/>
    <xf numFmtId="4" fontId="7" fillId="0" borderId="2" xfId="0" applyNumberFormat="1" applyFont="1" applyBorder="1"/>
    <xf numFmtId="0" fontId="7" fillId="0" borderId="0" xfId="0" applyFont="1" applyAlignment="1">
      <alignment horizontal="center"/>
    </xf>
    <xf numFmtId="0" fontId="21" fillId="0" borderId="0" xfId="0" applyFont="1"/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vertical="center" wrapText="1"/>
    </xf>
    <xf numFmtId="0" fontId="8" fillId="2" borderId="0" xfId="0" applyFont="1" applyFill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" fontId="20" fillId="6" borderId="0" xfId="0" applyNumberFormat="1" applyFont="1" applyFill="1" applyAlignment="1">
      <alignment horizontal="center" vertical="center"/>
    </xf>
    <xf numFmtId="164" fontId="20" fillId="6" borderId="0" xfId="0" applyNumberFormat="1" applyFont="1" applyFill="1" applyAlignment="1">
      <alignment horizontal="center" vertical="center"/>
    </xf>
    <xf numFmtId="1" fontId="20" fillId="6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color rgb="FF7F3F00"/>
      </font>
      <fill>
        <patternFill>
          <bgColor rgb="FFFFD966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mruColors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Total Profit vs Discount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[1]WhatIf!$C$7</c:f>
              <c:strCache>
                <c:ptCount val="1"/>
                <c:pt idx="0">
                  <c:v>Total Profit</c:v>
                </c:pt>
              </c:strCache>
            </c:strRef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[1]WhatIf!$A$8:$A$13</c:f>
              <c:numCache>
                <c:formatCode>General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cat>
          <c:val>
            <c:numRef>
              <c:f>[1]WhatIf!$C$8:$C$13</c:f>
              <c:numCache>
                <c:formatCode>General</c:formatCode>
                <c:ptCount val="6"/>
                <c:pt idx="0">
                  <c:v>91096.443979188189</c:v>
                </c:pt>
                <c:pt idx="1">
                  <c:v>80195.084280228795</c:v>
                </c:pt>
                <c:pt idx="2">
                  <c:v>69293.724581269402</c:v>
                </c:pt>
                <c:pt idx="3">
                  <c:v>58392.364882309979</c:v>
                </c:pt>
                <c:pt idx="4">
                  <c:v>47491.005183350615</c:v>
                </c:pt>
                <c:pt idx="5">
                  <c:v>36589.645484391192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1-4F38-9685-9E39FB1AA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796006"/>
        <c:axId val="14063540"/>
      </c:lineChart>
      <c:catAx>
        <c:axId val="54796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Discount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4063540"/>
        <c:crosses val="autoZero"/>
        <c:auto val="1"/>
        <c:lblAlgn val="ctr"/>
        <c:lblOffset val="100"/>
        <c:noMultiLvlLbl val="0"/>
      </c:catAx>
      <c:valAx>
        <c:axId val="1406354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Total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47960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934156937279393"/>
                  <c:y val="-0.225736688276741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Sheet1!$E$2:$E$201</c:f>
              <c:numCache>
                <c:formatCode>0.00</c:formatCode>
                <c:ptCount val="94"/>
                <c:pt idx="0">
                  <c:v>1036.0899999999999</c:v>
                </c:pt>
                <c:pt idx="1">
                  <c:v>1101.28</c:v>
                </c:pt>
                <c:pt idx="2">
                  <c:v>1317.53</c:v>
                </c:pt>
                <c:pt idx="3">
                  <c:v>1074.47</c:v>
                </c:pt>
                <c:pt idx="4">
                  <c:v>1572.82</c:v>
                </c:pt>
                <c:pt idx="5">
                  <c:v>1343.13</c:v>
                </c:pt>
                <c:pt idx="6">
                  <c:v>1191.58</c:v>
                </c:pt>
                <c:pt idx="7">
                  <c:v>1502.93</c:v>
                </c:pt>
                <c:pt idx="8">
                  <c:v>1506.14</c:v>
                </c:pt>
                <c:pt idx="9">
                  <c:v>1173.1199999999999</c:v>
                </c:pt>
                <c:pt idx="10">
                  <c:v>1450.71</c:v>
                </c:pt>
                <c:pt idx="11">
                  <c:v>1023.21</c:v>
                </c:pt>
                <c:pt idx="12">
                  <c:v>1200.9000000000001</c:v>
                </c:pt>
                <c:pt idx="13">
                  <c:v>1410.06</c:v>
                </c:pt>
                <c:pt idx="14">
                  <c:v>1151.21</c:v>
                </c:pt>
                <c:pt idx="15">
                  <c:v>1025.98</c:v>
                </c:pt>
                <c:pt idx="16">
                  <c:v>1227.25</c:v>
                </c:pt>
                <c:pt idx="17">
                  <c:v>1225.42</c:v>
                </c:pt>
                <c:pt idx="18">
                  <c:v>1001.57</c:v>
                </c:pt>
                <c:pt idx="19">
                  <c:v>1186.8499999999999</c:v>
                </c:pt>
                <c:pt idx="20">
                  <c:v>1021.47</c:v>
                </c:pt>
                <c:pt idx="21">
                  <c:v>1226.6199999999999</c:v>
                </c:pt>
                <c:pt idx="22">
                  <c:v>1086.93</c:v>
                </c:pt>
                <c:pt idx="23">
                  <c:v>1248.82</c:v>
                </c:pt>
                <c:pt idx="24">
                  <c:v>1360.36</c:v>
                </c:pt>
                <c:pt idx="25">
                  <c:v>1383.3</c:v>
                </c:pt>
                <c:pt idx="26">
                  <c:v>1005.53</c:v>
                </c:pt>
                <c:pt idx="27">
                  <c:v>1100.0999999999999</c:v>
                </c:pt>
                <c:pt idx="28">
                  <c:v>1034.7</c:v>
                </c:pt>
                <c:pt idx="29">
                  <c:v>1371.34</c:v>
                </c:pt>
                <c:pt idx="30">
                  <c:v>1020.26</c:v>
                </c:pt>
                <c:pt idx="31">
                  <c:v>1526.6</c:v>
                </c:pt>
                <c:pt idx="32">
                  <c:v>1215.26</c:v>
                </c:pt>
                <c:pt idx="33">
                  <c:v>1261.3399999999999</c:v>
                </c:pt>
                <c:pt idx="34">
                  <c:v>1111.3399999999999</c:v>
                </c:pt>
                <c:pt idx="35">
                  <c:v>1291.47</c:v>
                </c:pt>
                <c:pt idx="36">
                  <c:v>1143.69</c:v>
                </c:pt>
                <c:pt idx="37">
                  <c:v>1070.68</c:v>
                </c:pt>
                <c:pt idx="38">
                  <c:v>1168.8900000000001</c:v>
                </c:pt>
                <c:pt idx="39">
                  <c:v>1335.87</c:v>
                </c:pt>
                <c:pt idx="40">
                  <c:v>1443.98</c:v>
                </c:pt>
                <c:pt idx="41">
                  <c:v>1154.33</c:v>
                </c:pt>
                <c:pt idx="42">
                  <c:v>1264.49</c:v>
                </c:pt>
                <c:pt idx="43">
                  <c:v>1101.55</c:v>
                </c:pt>
                <c:pt idx="44">
                  <c:v>1158.94</c:v>
                </c:pt>
                <c:pt idx="45">
                  <c:v>1172.97</c:v>
                </c:pt>
                <c:pt idx="46">
                  <c:v>1205.82</c:v>
                </c:pt>
                <c:pt idx="47">
                  <c:v>1014.09</c:v>
                </c:pt>
                <c:pt idx="48">
                  <c:v>1286.54</c:v>
                </c:pt>
                <c:pt idx="49">
                  <c:v>1081.1400000000001</c:v>
                </c:pt>
                <c:pt idx="50">
                  <c:v>1923.66</c:v>
                </c:pt>
                <c:pt idx="51">
                  <c:v>1301.8900000000001</c:v>
                </c:pt>
                <c:pt idx="52">
                  <c:v>1193.6099999999999</c:v>
                </c:pt>
                <c:pt idx="53">
                  <c:v>1249.0999999999999</c:v>
                </c:pt>
                <c:pt idx="54">
                  <c:v>1014.22</c:v>
                </c:pt>
                <c:pt idx="55">
                  <c:v>1010.58</c:v>
                </c:pt>
                <c:pt idx="56">
                  <c:v>1077.92</c:v>
                </c:pt>
                <c:pt idx="57">
                  <c:v>1163.01</c:v>
                </c:pt>
                <c:pt idx="58">
                  <c:v>1014.56</c:v>
                </c:pt>
                <c:pt idx="59">
                  <c:v>1277.8499999999999</c:v>
                </c:pt>
                <c:pt idx="60">
                  <c:v>1410.59</c:v>
                </c:pt>
                <c:pt idx="61">
                  <c:v>1350.33</c:v>
                </c:pt>
                <c:pt idx="62">
                  <c:v>1213.48</c:v>
                </c:pt>
                <c:pt idx="63">
                  <c:v>1150.28</c:v>
                </c:pt>
                <c:pt idx="64">
                  <c:v>1061.04</c:v>
                </c:pt>
                <c:pt idx="65">
                  <c:v>1432.47</c:v>
                </c:pt>
                <c:pt idx="66">
                  <c:v>1488.58</c:v>
                </c:pt>
                <c:pt idx="67">
                  <c:v>1231.26</c:v>
                </c:pt>
                <c:pt idx="68">
                  <c:v>1161.67</c:v>
                </c:pt>
                <c:pt idx="69">
                  <c:v>1589.42</c:v>
                </c:pt>
                <c:pt idx="70">
                  <c:v>1353.79</c:v>
                </c:pt>
                <c:pt idx="71">
                  <c:v>1171.18</c:v>
                </c:pt>
                <c:pt idx="72">
                  <c:v>1054.56</c:v>
                </c:pt>
                <c:pt idx="73">
                  <c:v>1681.21</c:v>
                </c:pt>
                <c:pt idx="74">
                  <c:v>1076.33</c:v>
                </c:pt>
                <c:pt idx="75">
                  <c:v>1250.71</c:v>
                </c:pt>
                <c:pt idx="76">
                  <c:v>1118.3399999999999</c:v>
                </c:pt>
                <c:pt idx="77">
                  <c:v>1622.62</c:v>
                </c:pt>
                <c:pt idx="78">
                  <c:v>1109.98</c:v>
                </c:pt>
                <c:pt idx="79">
                  <c:v>1098.08</c:v>
                </c:pt>
                <c:pt idx="80">
                  <c:v>1311.26</c:v>
                </c:pt>
                <c:pt idx="81">
                  <c:v>1115.22</c:v>
                </c:pt>
                <c:pt idx="82">
                  <c:v>1029.8</c:v>
                </c:pt>
                <c:pt idx="83">
                  <c:v>1189.83</c:v>
                </c:pt>
                <c:pt idx="84">
                  <c:v>1618.22</c:v>
                </c:pt>
                <c:pt idx="85">
                  <c:v>1014.43</c:v>
                </c:pt>
                <c:pt idx="86">
                  <c:v>1022.23</c:v>
                </c:pt>
                <c:pt idx="87">
                  <c:v>1099.69</c:v>
                </c:pt>
                <c:pt idx="88">
                  <c:v>1064.19</c:v>
                </c:pt>
                <c:pt idx="89">
                  <c:v>1493.49</c:v>
                </c:pt>
                <c:pt idx="90">
                  <c:v>1184.25</c:v>
                </c:pt>
                <c:pt idx="91">
                  <c:v>1456.94</c:v>
                </c:pt>
                <c:pt idx="92">
                  <c:v>1093.3800000000001</c:v>
                </c:pt>
                <c:pt idx="93">
                  <c:v>1465.35</c:v>
                </c:pt>
              </c:numCache>
            </c:numRef>
          </c:xVal>
          <c:yVal>
            <c:numRef>
              <c:f>Sheet1!$I$2:$I$201</c:f>
              <c:numCache>
                <c:formatCode>General</c:formatCode>
                <c:ptCount val="94"/>
                <c:pt idx="0">
                  <c:v>331.55</c:v>
                </c:pt>
                <c:pt idx="1">
                  <c:v>440.51</c:v>
                </c:pt>
                <c:pt idx="2">
                  <c:v>312.91000000000003</c:v>
                </c:pt>
                <c:pt idx="3">
                  <c:v>300.85000000000002</c:v>
                </c:pt>
                <c:pt idx="4">
                  <c:v>672.38</c:v>
                </c:pt>
                <c:pt idx="5">
                  <c:v>456.66</c:v>
                </c:pt>
                <c:pt idx="6">
                  <c:v>452.8</c:v>
                </c:pt>
                <c:pt idx="7">
                  <c:v>300.58999999999997</c:v>
                </c:pt>
                <c:pt idx="8">
                  <c:v>481.96</c:v>
                </c:pt>
                <c:pt idx="9">
                  <c:v>293.27999999999997</c:v>
                </c:pt>
                <c:pt idx="10">
                  <c:v>326.41000000000003</c:v>
                </c:pt>
                <c:pt idx="11">
                  <c:v>388.82</c:v>
                </c:pt>
                <c:pt idx="12">
                  <c:v>513.38</c:v>
                </c:pt>
                <c:pt idx="13">
                  <c:v>468.84</c:v>
                </c:pt>
                <c:pt idx="14">
                  <c:v>414.44</c:v>
                </c:pt>
                <c:pt idx="15">
                  <c:v>369.35</c:v>
                </c:pt>
                <c:pt idx="16">
                  <c:v>365.11</c:v>
                </c:pt>
                <c:pt idx="17">
                  <c:v>468.72</c:v>
                </c:pt>
                <c:pt idx="18">
                  <c:v>450.71</c:v>
                </c:pt>
                <c:pt idx="19">
                  <c:v>332.32</c:v>
                </c:pt>
                <c:pt idx="20">
                  <c:v>242.6</c:v>
                </c:pt>
                <c:pt idx="21">
                  <c:v>551.98</c:v>
                </c:pt>
                <c:pt idx="22">
                  <c:v>380.43</c:v>
                </c:pt>
                <c:pt idx="23">
                  <c:v>449.58</c:v>
                </c:pt>
                <c:pt idx="24">
                  <c:v>680.18</c:v>
                </c:pt>
                <c:pt idx="25">
                  <c:v>497.99</c:v>
                </c:pt>
                <c:pt idx="26">
                  <c:v>201.11</c:v>
                </c:pt>
                <c:pt idx="27">
                  <c:v>261.27</c:v>
                </c:pt>
                <c:pt idx="28">
                  <c:v>307.82</c:v>
                </c:pt>
                <c:pt idx="29">
                  <c:v>455.97</c:v>
                </c:pt>
                <c:pt idx="30">
                  <c:v>242.31</c:v>
                </c:pt>
                <c:pt idx="31">
                  <c:v>305.32</c:v>
                </c:pt>
                <c:pt idx="32">
                  <c:v>258.24</c:v>
                </c:pt>
                <c:pt idx="33">
                  <c:v>441.47</c:v>
                </c:pt>
                <c:pt idx="34">
                  <c:v>500.1</c:v>
                </c:pt>
                <c:pt idx="35">
                  <c:v>581.16</c:v>
                </c:pt>
                <c:pt idx="36">
                  <c:v>400.29</c:v>
                </c:pt>
                <c:pt idx="37">
                  <c:v>406.86</c:v>
                </c:pt>
                <c:pt idx="38">
                  <c:v>526</c:v>
                </c:pt>
                <c:pt idx="39">
                  <c:v>333.97</c:v>
                </c:pt>
                <c:pt idx="40">
                  <c:v>649.79</c:v>
                </c:pt>
                <c:pt idx="41">
                  <c:v>441.53</c:v>
                </c:pt>
                <c:pt idx="42">
                  <c:v>480.51</c:v>
                </c:pt>
                <c:pt idx="43">
                  <c:v>346.99</c:v>
                </c:pt>
                <c:pt idx="44">
                  <c:v>231.79</c:v>
                </c:pt>
                <c:pt idx="45">
                  <c:v>348.96</c:v>
                </c:pt>
                <c:pt idx="46">
                  <c:v>542.62</c:v>
                </c:pt>
                <c:pt idx="47">
                  <c:v>202.82</c:v>
                </c:pt>
                <c:pt idx="48">
                  <c:v>450.29</c:v>
                </c:pt>
                <c:pt idx="49">
                  <c:v>367.59</c:v>
                </c:pt>
                <c:pt idx="50">
                  <c:v>769.46</c:v>
                </c:pt>
                <c:pt idx="51">
                  <c:v>553.29999999999995</c:v>
                </c:pt>
                <c:pt idx="52">
                  <c:v>355.1</c:v>
                </c:pt>
                <c:pt idx="53">
                  <c:v>474.66</c:v>
                </c:pt>
                <c:pt idx="54">
                  <c:v>433.58</c:v>
                </c:pt>
                <c:pt idx="55">
                  <c:v>343.6</c:v>
                </c:pt>
                <c:pt idx="56">
                  <c:v>358.41</c:v>
                </c:pt>
                <c:pt idx="57">
                  <c:v>581.5</c:v>
                </c:pt>
                <c:pt idx="58">
                  <c:v>410.9</c:v>
                </c:pt>
                <c:pt idx="59">
                  <c:v>511.14</c:v>
                </c:pt>
                <c:pt idx="60">
                  <c:v>352.65</c:v>
                </c:pt>
                <c:pt idx="61">
                  <c:v>472.62</c:v>
                </c:pt>
                <c:pt idx="62">
                  <c:v>461.12</c:v>
                </c:pt>
                <c:pt idx="63">
                  <c:v>437.11</c:v>
                </c:pt>
                <c:pt idx="64">
                  <c:v>265.26</c:v>
                </c:pt>
                <c:pt idx="65">
                  <c:v>426.16</c:v>
                </c:pt>
                <c:pt idx="66">
                  <c:v>316.32</c:v>
                </c:pt>
                <c:pt idx="67">
                  <c:v>492.5</c:v>
                </c:pt>
                <c:pt idx="68">
                  <c:v>232.33</c:v>
                </c:pt>
                <c:pt idx="69">
                  <c:v>675.5</c:v>
                </c:pt>
                <c:pt idx="70">
                  <c:v>487.36</c:v>
                </c:pt>
                <c:pt idx="71">
                  <c:v>556.30999999999995</c:v>
                </c:pt>
                <c:pt idx="72">
                  <c:v>332.19</c:v>
                </c:pt>
                <c:pt idx="73">
                  <c:v>336.24</c:v>
                </c:pt>
                <c:pt idx="74">
                  <c:v>484.35</c:v>
                </c:pt>
                <c:pt idx="75">
                  <c:v>562.82000000000005</c:v>
                </c:pt>
                <c:pt idx="76">
                  <c:v>447.34</c:v>
                </c:pt>
                <c:pt idx="77">
                  <c:v>649.04999999999995</c:v>
                </c:pt>
                <c:pt idx="78">
                  <c:v>443.99</c:v>
                </c:pt>
                <c:pt idx="79">
                  <c:v>395.31</c:v>
                </c:pt>
                <c:pt idx="80">
                  <c:v>531.05999999999995</c:v>
                </c:pt>
                <c:pt idx="81">
                  <c:v>223.04</c:v>
                </c:pt>
                <c:pt idx="82">
                  <c:v>257.45</c:v>
                </c:pt>
                <c:pt idx="83">
                  <c:v>380.75</c:v>
                </c:pt>
                <c:pt idx="84">
                  <c:v>582.55999999999995</c:v>
                </c:pt>
                <c:pt idx="85">
                  <c:v>344.91</c:v>
                </c:pt>
                <c:pt idx="86">
                  <c:v>460</c:v>
                </c:pt>
                <c:pt idx="87">
                  <c:v>439.88</c:v>
                </c:pt>
                <c:pt idx="88">
                  <c:v>404.39</c:v>
                </c:pt>
                <c:pt idx="89">
                  <c:v>746.74</c:v>
                </c:pt>
                <c:pt idx="90">
                  <c:v>331.59</c:v>
                </c:pt>
                <c:pt idx="91">
                  <c:v>692.05</c:v>
                </c:pt>
                <c:pt idx="92">
                  <c:v>344.41</c:v>
                </c:pt>
                <c:pt idx="93">
                  <c:v>586.14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C-4E97-875C-AA6103B0A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724592"/>
        <c:axId val="666318320"/>
      </c:scatterChart>
      <c:valAx>
        <c:axId val="125172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18320"/>
        <c:crosses val="autoZero"/>
        <c:crossBetween val="midCat"/>
      </c:valAx>
      <c:valAx>
        <c:axId val="6663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2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[PR.2 Analyzer.xlsx]Q.5!PivotTable7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Q.5!$B$3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Q.5!$A$4:$A$19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Q.5!$B$4:$B$19</c:f>
              <c:numCache>
                <c:formatCode>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2-4F7C-9156-B65F77E0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130895"/>
        <c:axId val="1833071087"/>
      </c:lineChart>
      <c:catAx>
        <c:axId val="18711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71087"/>
        <c:crosses val="autoZero"/>
        <c:auto val="1"/>
        <c:lblAlgn val="ctr"/>
        <c:lblOffset val="100"/>
        <c:noMultiLvlLbl val="0"/>
      </c:catAx>
      <c:valAx>
        <c:axId val="18330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3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[PR.2 Analyzer.xlsx]Q.8 &amp; Q.9!PivotTable8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'Q.8 &amp; Q.9'!$B$3:$B$4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'Q.8 &amp; Q.9'!$A$5:$A$10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'Q.8 &amp; Q.9'!$B$5:$B$10</c:f>
              <c:numCache>
                <c:formatCode>0.00</c:formatCode>
                <c:ptCount val="5"/>
                <c:pt idx="0">
                  <c:v>11297.150000000001</c:v>
                </c:pt>
                <c:pt idx="1">
                  <c:v>10391.480000000001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4-42E1-9C20-438C74002C8E}"/>
            </c:ext>
          </c:extLst>
        </c:ser>
        <c:ser>
          <c:idx val="1"/>
          <c:order val="1"/>
          <c:tx>
            <c:strRef>
              <c:f>'Q.8 &amp; Q.9'!$C$3:$C$4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'Q.8 &amp; Q.9'!$A$5:$A$10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'Q.8 &amp; Q.9'!$C$5:$C$10</c:f>
              <c:numCache>
                <c:formatCode>0.00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7465.31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4-42E1-9C20-438C74002C8E}"/>
            </c:ext>
          </c:extLst>
        </c:ser>
        <c:ser>
          <c:idx val="2"/>
          <c:order val="2"/>
          <c:tx>
            <c:strRef>
              <c:f>'Q.8 &amp; Q.9'!$D$3:$D$4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'Q.8 &amp; Q.9'!$A$5:$A$10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'Q.8 &amp; Q.9'!$D$5:$D$10</c:f>
              <c:numCache>
                <c:formatCode>0.00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E4-42E1-9C20-438C74002C8E}"/>
            </c:ext>
          </c:extLst>
        </c:ser>
        <c:ser>
          <c:idx val="3"/>
          <c:order val="3"/>
          <c:tx>
            <c:strRef>
              <c:f>'Q.8 &amp; Q.9'!$E$3:$E$4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'Q.8 &amp; Q.9'!$A$5:$A$10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'Q.8 &amp; Q.9'!$E$5:$E$10</c:f>
              <c:numCache>
                <c:formatCode>0.00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E4-42E1-9C20-438C74002C8E}"/>
            </c:ext>
          </c:extLst>
        </c:ser>
        <c:ser>
          <c:idx val="4"/>
          <c:order val="4"/>
          <c:tx>
            <c:strRef>
              <c:f>'Q.8 &amp; Q.9'!$F$3:$F$4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'Q.8 &amp; Q.9'!$A$5:$A$10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'Q.8 &amp; Q.9'!$F$5:$F$10</c:f>
              <c:numCache>
                <c:formatCode>0.00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1554.52</c:v>
                </c:pt>
                <c:pt idx="4">
                  <c:v>5782.32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E4-42E1-9C20-438C7400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029584"/>
        <c:axId val="666233360"/>
      </c:barChart>
      <c:catAx>
        <c:axId val="138402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33360"/>
        <c:crosses val="autoZero"/>
        <c:auto val="1"/>
        <c:lblAlgn val="ctr"/>
        <c:lblOffset val="100"/>
        <c:noMultiLvlLbl val="0"/>
      </c:catAx>
      <c:valAx>
        <c:axId val="6662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2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[PR.2 Analyzer.xlsx]Q.5!PivotTable7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Q.5!$B$3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Q.5!$A$4:$A$19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Q.5!$B$4:$B$19</c:f>
              <c:numCache>
                <c:formatCode>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D-4215-8BAA-1A81D7243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725520"/>
        <c:axId val="666319760"/>
      </c:lineChart>
      <c:catAx>
        <c:axId val="12517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19760"/>
        <c:crosses val="autoZero"/>
        <c:auto val="1"/>
        <c:lblAlgn val="ctr"/>
        <c:lblOffset val="100"/>
        <c:noMultiLvlLbl val="0"/>
      </c:catAx>
      <c:valAx>
        <c:axId val="6663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2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2C-48B4-A1B6-0EF7240362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2C-48B4-A1B6-0EF7240362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2C-48B4-A1B6-0EF7240362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2C-48B4-A1B6-0EF7240362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2C-48B4-A1B6-0EF7240362D9}"/>
              </c:ext>
            </c:extLst>
          </c:dPt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43468.33</c:v>
              </c:pt>
              <c:pt idx="1">
                <c:v>31444.03</c:v>
              </c:pt>
              <c:pt idx="2">
                <c:v>34975.42</c:v>
              </c:pt>
              <c:pt idx="3">
                <c:v>38579.67</c:v>
              </c:pt>
              <c:pt idx="4">
                <c:v>43538.14</c:v>
              </c:pt>
            </c:numLit>
          </c:val>
          <c:extLst>
            <c:ext xmlns:c16="http://schemas.microsoft.com/office/drawing/2014/chart" uri="{C3380CC4-5D6E-409C-BE32-E72D297353CC}">
              <c16:uniqueId val="{0000000A-622C-48B4-A1B6-0EF724036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[1]Dashboard!$B$50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[1]Dashboard!$A$51:$A$55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[1]Dashboard!$B$51:$B$55</c:f>
              <c:numCache>
                <c:formatCode>General</c:formatCode>
                <c:ptCount val="5"/>
                <c:pt idx="0">
                  <c:v>43468.33</c:v>
                </c:pt>
                <c:pt idx="1">
                  <c:v>32441.640000000003</c:v>
                </c:pt>
                <c:pt idx="2">
                  <c:v>34975.420000000006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0-4BA6-8660-8AEFEFB2B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97339"/>
        <c:axId val="53345737"/>
      </c:barChart>
      <c:catAx>
        <c:axId val="49297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3345737"/>
        <c:crosses val="autoZero"/>
        <c:auto val="1"/>
        <c:lblAlgn val="ctr"/>
        <c:lblOffset val="100"/>
        <c:noMultiLvlLbl val="0"/>
      </c:catAx>
      <c:valAx>
        <c:axId val="5334573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92973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[1]Monthly!$B$1</c:f>
              <c:strCache>
                <c:ptCount val="1"/>
                <c:pt idx="0">
                  <c:v>Sales</c:v>
                </c:pt>
              </c:strCache>
            </c:strRef>
          </c:tx>
          <c:spPr>
            <a:ln w="3816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[1]Monthly!$A$2:$A$14</c:f>
              <c:numCache>
                <c:formatCode>General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[1]Monthly!$B$2:$B$14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6-499D-9A63-62388C096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895114"/>
        <c:axId val="41005288"/>
      </c:lineChart>
      <c:catAx>
        <c:axId val="8989511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1005288"/>
        <c:crosses val="autoZero"/>
        <c:auto val="1"/>
        <c:lblAlgn val="ctr"/>
        <c:lblOffset val="100"/>
        <c:noMultiLvlLbl val="1"/>
      </c:catAx>
      <c:valAx>
        <c:axId val="4100528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98951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Sales Share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[1]Dashboard!$E$50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212-43C7-97A0-F7401317D4FC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1212-43C7-97A0-F7401317D4FC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1212-43C7-97A0-F7401317D4FC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1212-43C7-97A0-F7401317D4FC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1212-43C7-97A0-F7401317D4F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12-43C7-97A0-F7401317D4F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12-43C7-97A0-F7401317D4F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12-43C7-97A0-F7401317D4F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12-43C7-97A0-F7401317D4F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212-43C7-97A0-F7401317D4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[1]Dashboard!$D$51:$D$55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[1]Dashboard!$E$51:$E$55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12-43C7-97A0-F7401317D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579120</xdr:colOff>
      <xdr:row>0</xdr:row>
      <xdr:rowOff>83820</xdr:rowOff>
    </xdr:from>
    <xdr:to>
      <xdr:col>12</xdr:col>
      <xdr:colOff>506940</xdr:colOff>
      <xdr:row>14</xdr:row>
      <xdr:rowOff>116580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DE78A-6AEF-4991-8152-7A7678FF8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0</xdr:row>
      <xdr:rowOff>106680</xdr:rowOff>
    </xdr:from>
    <xdr:to>
      <xdr:col>15</xdr:col>
      <xdr:colOff>220980</xdr:colOff>
      <xdr:row>13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197E63-8780-4C58-A5B1-0D45865EB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179070</xdr:rowOff>
    </xdr:from>
    <xdr:to>
      <xdr:col>11</xdr:col>
      <xdr:colOff>297180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225E0-8BB8-ADAE-D992-6ECD8F42D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14</xdr:col>
      <xdr:colOff>601980</xdr:colOff>
      <xdr:row>26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6A828-3BAF-9868-6BDE-554272436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</xdr:row>
      <xdr:rowOff>175260</xdr:rowOff>
    </xdr:from>
    <xdr:to>
      <xdr:col>6</xdr:col>
      <xdr:colOff>708660</xdr:colOff>
      <xdr:row>25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E6A00-4EA0-4B56-A1EE-42C8B90F6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0</xdr:row>
      <xdr:rowOff>0</xdr:rowOff>
    </xdr:from>
    <xdr:to>
      <xdr:col>15</xdr:col>
      <xdr:colOff>15240</xdr:colOff>
      <xdr:row>11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FE1A3D-E907-4545-A4CE-60A6A5D4F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4</xdr:row>
      <xdr:rowOff>0</xdr:rowOff>
    </xdr:from>
    <xdr:ext cx="4294440" cy="25930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BF086-40F4-4832-83F9-AC1F409D4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7620</xdr:colOff>
      <xdr:row>4</xdr:row>
      <xdr:rowOff>7620</xdr:rowOff>
    </xdr:from>
    <xdr:ext cx="4294440" cy="25930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301B81-C112-4858-81C4-651681EF3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510540</xdr:colOff>
      <xdr:row>19</xdr:row>
      <xdr:rowOff>30480</xdr:rowOff>
    </xdr:from>
    <xdr:ext cx="4294440" cy="2607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F7A67A-402A-42F4-9241-E019E6DD2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R_2_Analyzer_Solution.xlsx" TargetMode="External"/><Relationship Id="rId2" Type="http://schemas.openxmlformats.org/officeDocument/2006/relationships/externalLinkPath" Target="file:///C:\Users\YAKSH%20PATEL\Downloads\PR_2_Analyzer_Solution.xlsx" TargetMode="External"/><Relationship Id="rId1" Type="http://schemas.openxmlformats.org/officeDocument/2006/relationships/externalLinkPath" Target="/Users/YAKSH%20PATEL/Downloads/PR_2_Analyzer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Dashboard"/>
      <sheetName val="Customers"/>
      <sheetName val="WhatIf"/>
      <sheetName val="Regression"/>
      <sheetName val="Descriptive_Stats"/>
      <sheetName val="Monthly"/>
      <sheetName val="Pivot_Analysis"/>
    </sheetNames>
    <sheetDataSet>
      <sheetData sheetId="0">
        <row r="2">
          <cell r="A2" t="str">
            <v>CUST019</v>
          </cell>
          <cell r="E2">
            <v>1036.0899999999999</v>
          </cell>
          <cell r="G2">
            <v>0.2</v>
          </cell>
          <cell r="I2">
            <v>331.55</v>
          </cell>
        </row>
        <row r="3">
          <cell r="A3" t="str">
            <v>CUST012</v>
          </cell>
          <cell r="E3">
            <v>1101.28</v>
          </cell>
          <cell r="G3">
            <v>0.2</v>
          </cell>
          <cell r="I3">
            <v>440.51</v>
          </cell>
        </row>
        <row r="4">
          <cell r="A4" t="str">
            <v>CUST017</v>
          </cell>
          <cell r="E4">
            <v>713.34</v>
          </cell>
          <cell r="G4">
            <v>0</v>
          </cell>
          <cell r="I4">
            <v>285.33999999999997</v>
          </cell>
        </row>
        <row r="5">
          <cell r="A5" t="str">
            <v>CUST005</v>
          </cell>
          <cell r="E5">
            <v>760.93</v>
          </cell>
          <cell r="G5">
            <v>0.15</v>
          </cell>
          <cell r="I5">
            <v>161.69999999999999</v>
          </cell>
        </row>
        <row r="6">
          <cell r="A6" t="str">
            <v>CUST030</v>
          </cell>
          <cell r="E6">
            <v>847</v>
          </cell>
          <cell r="G6">
            <v>0.2</v>
          </cell>
          <cell r="I6">
            <v>271.04000000000002</v>
          </cell>
        </row>
        <row r="7">
          <cell r="A7" t="str">
            <v>CUST007</v>
          </cell>
          <cell r="E7">
            <v>965.64</v>
          </cell>
          <cell r="G7">
            <v>0.1</v>
          </cell>
          <cell r="I7">
            <v>304.18</v>
          </cell>
        </row>
        <row r="8">
          <cell r="A8" t="str">
            <v>CUST001</v>
          </cell>
          <cell r="E8">
            <v>1317.53</v>
          </cell>
          <cell r="G8">
            <v>0.05</v>
          </cell>
          <cell r="I8">
            <v>312.91000000000003</v>
          </cell>
        </row>
        <row r="9">
          <cell r="A9" t="str">
            <v>CUST026</v>
          </cell>
          <cell r="E9">
            <v>1074.47</v>
          </cell>
          <cell r="G9">
            <v>0.2</v>
          </cell>
          <cell r="I9">
            <v>300.85000000000002</v>
          </cell>
        </row>
        <row r="10">
          <cell r="A10" t="str">
            <v>CUST009</v>
          </cell>
          <cell r="E10">
            <v>501.54</v>
          </cell>
          <cell r="G10">
            <v>0.05</v>
          </cell>
          <cell r="I10">
            <v>190.59</v>
          </cell>
        </row>
        <row r="11">
          <cell r="A11" t="str">
            <v>CUST010</v>
          </cell>
          <cell r="E11">
            <v>737.31</v>
          </cell>
          <cell r="G11">
            <v>0.05</v>
          </cell>
          <cell r="I11">
            <v>350.22</v>
          </cell>
        </row>
        <row r="12">
          <cell r="A12" t="str">
            <v>CUST014</v>
          </cell>
          <cell r="E12">
            <v>1572.82</v>
          </cell>
          <cell r="G12">
            <v>0.05</v>
          </cell>
          <cell r="I12">
            <v>672.38</v>
          </cell>
        </row>
        <row r="13">
          <cell r="A13" t="str">
            <v>CUST014</v>
          </cell>
          <cell r="E13">
            <v>1343.13</v>
          </cell>
          <cell r="G13">
            <v>0.15</v>
          </cell>
          <cell r="I13">
            <v>456.66</v>
          </cell>
        </row>
        <row r="14">
          <cell r="A14" t="str">
            <v>CUST007</v>
          </cell>
          <cell r="E14">
            <v>1191.58</v>
          </cell>
          <cell r="G14">
            <v>0.05</v>
          </cell>
          <cell r="I14">
            <v>452.8</v>
          </cell>
        </row>
        <row r="15">
          <cell r="A15" t="str">
            <v>CUST023</v>
          </cell>
          <cell r="E15">
            <v>822.28</v>
          </cell>
          <cell r="G15">
            <v>0.05</v>
          </cell>
          <cell r="I15">
            <v>273.41000000000003</v>
          </cell>
        </row>
        <row r="16">
          <cell r="A16" t="str">
            <v>CUST029</v>
          </cell>
          <cell r="E16">
            <v>521.66999999999996</v>
          </cell>
          <cell r="G16">
            <v>0.15</v>
          </cell>
          <cell r="I16">
            <v>155.19999999999999</v>
          </cell>
        </row>
        <row r="17">
          <cell r="A17" t="str">
            <v>CUST005</v>
          </cell>
          <cell r="E17">
            <v>1502.93</v>
          </cell>
          <cell r="G17">
            <v>0.2</v>
          </cell>
          <cell r="I17">
            <v>300.58999999999997</v>
          </cell>
        </row>
        <row r="18">
          <cell r="A18" t="str">
            <v>CUST008</v>
          </cell>
          <cell r="E18">
            <v>877.58</v>
          </cell>
          <cell r="G18">
            <v>0.15</v>
          </cell>
          <cell r="I18">
            <v>298.38</v>
          </cell>
        </row>
        <row r="19">
          <cell r="A19" t="str">
            <v>CUST001</v>
          </cell>
          <cell r="E19">
            <v>636.70000000000005</v>
          </cell>
          <cell r="G19">
            <v>0.2</v>
          </cell>
          <cell r="I19">
            <v>203.74</v>
          </cell>
        </row>
        <row r="20">
          <cell r="A20" t="str">
            <v>CUST006</v>
          </cell>
          <cell r="E20">
            <v>1506.14</v>
          </cell>
          <cell r="G20">
            <v>0.2</v>
          </cell>
          <cell r="I20">
            <v>481.96</v>
          </cell>
        </row>
        <row r="21">
          <cell r="A21" t="str">
            <v>CUST026</v>
          </cell>
          <cell r="E21">
            <v>645.02</v>
          </cell>
          <cell r="G21">
            <v>0</v>
          </cell>
          <cell r="I21">
            <v>161.26</v>
          </cell>
        </row>
        <row r="22">
          <cell r="A22" t="str">
            <v>CUST007</v>
          </cell>
          <cell r="E22">
            <v>953.3</v>
          </cell>
          <cell r="G22">
            <v>0</v>
          </cell>
          <cell r="I22">
            <v>476.65</v>
          </cell>
        </row>
        <row r="23">
          <cell r="A23" t="str">
            <v>CUST022</v>
          </cell>
          <cell r="E23">
            <v>388.56</v>
          </cell>
          <cell r="G23">
            <v>0.15</v>
          </cell>
          <cell r="I23">
            <v>82.57</v>
          </cell>
        </row>
        <row r="24">
          <cell r="A24" t="str">
            <v>CUST019</v>
          </cell>
          <cell r="E24">
            <v>743.17</v>
          </cell>
          <cell r="G24">
            <v>0</v>
          </cell>
          <cell r="I24">
            <v>297.27</v>
          </cell>
        </row>
        <row r="25">
          <cell r="A25" t="str">
            <v>CUST023</v>
          </cell>
          <cell r="E25">
            <v>706.37</v>
          </cell>
          <cell r="G25">
            <v>0</v>
          </cell>
          <cell r="I25">
            <v>176.59</v>
          </cell>
        </row>
        <row r="26">
          <cell r="A26" t="str">
            <v>CUST012</v>
          </cell>
          <cell r="E26">
            <v>925.31</v>
          </cell>
          <cell r="G26">
            <v>0.1</v>
          </cell>
          <cell r="I26">
            <v>374.75</v>
          </cell>
        </row>
        <row r="27">
          <cell r="A27" t="str">
            <v>CUST010</v>
          </cell>
          <cell r="E27">
            <v>1173.1199999999999</v>
          </cell>
          <cell r="G27">
            <v>0</v>
          </cell>
          <cell r="I27">
            <v>293.27999999999997</v>
          </cell>
        </row>
        <row r="28">
          <cell r="A28" t="str">
            <v>CUST030</v>
          </cell>
          <cell r="E28">
            <v>675.54</v>
          </cell>
          <cell r="G28">
            <v>0</v>
          </cell>
          <cell r="I28">
            <v>236.44</v>
          </cell>
        </row>
        <row r="29">
          <cell r="A29" t="str">
            <v>CUST007</v>
          </cell>
          <cell r="E29">
            <v>939.09</v>
          </cell>
          <cell r="G29">
            <v>0.05</v>
          </cell>
          <cell r="I29">
            <v>356.85</v>
          </cell>
        </row>
        <row r="30">
          <cell r="A30" t="str">
            <v>CUST028</v>
          </cell>
          <cell r="E30">
            <v>983.34</v>
          </cell>
          <cell r="G30">
            <v>0.1</v>
          </cell>
          <cell r="I30">
            <v>398.25</v>
          </cell>
        </row>
        <row r="31">
          <cell r="A31" t="str">
            <v>CUST028</v>
          </cell>
          <cell r="E31">
            <v>801.21</v>
          </cell>
          <cell r="G31">
            <v>0.2</v>
          </cell>
          <cell r="I31">
            <v>160.24</v>
          </cell>
        </row>
        <row r="32">
          <cell r="A32" t="str">
            <v>CUST025</v>
          </cell>
          <cell r="E32">
            <v>1450.71</v>
          </cell>
          <cell r="G32">
            <v>0.1</v>
          </cell>
          <cell r="I32">
            <v>326.41000000000003</v>
          </cell>
        </row>
        <row r="33">
          <cell r="A33" t="str">
            <v>CUST022</v>
          </cell>
          <cell r="E33">
            <v>1023.21</v>
          </cell>
          <cell r="G33">
            <v>0.05</v>
          </cell>
          <cell r="I33">
            <v>388.82</v>
          </cell>
        </row>
        <row r="34">
          <cell r="A34" t="str">
            <v>CUST001</v>
          </cell>
          <cell r="E34">
            <v>853.72</v>
          </cell>
          <cell r="G34">
            <v>0.15</v>
          </cell>
          <cell r="I34">
            <v>253.98</v>
          </cell>
        </row>
        <row r="35">
          <cell r="A35" t="str">
            <v>CUST021</v>
          </cell>
          <cell r="E35">
            <v>967.89</v>
          </cell>
          <cell r="G35">
            <v>0.1</v>
          </cell>
          <cell r="I35">
            <v>217.78</v>
          </cell>
        </row>
        <row r="36">
          <cell r="A36" t="str">
            <v>CUST015</v>
          </cell>
          <cell r="E36">
            <v>1200.9000000000001</v>
          </cell>
          <cell r="G36">
            <v>0.05</v>
          </cell>
          <cell r="I36">
            <v>513.38</v>
          </cell>
        </row>
        <row r="37">
          <cell r="A37" t="str">
            <v>CUST012</v>
          </cell>
          <cell r="E37">
            <v>472.38</v>
          </cell>
          <cell r="G37">
            <v>0.2</v>
          </cell>
          <cell r="I37">
            <v>151.16</v>
          </cell>
        </row>
        <row r="38">
          <cell r="A38" t="str">
            <v>CUST019</v>
          </cell>
          <cell r="E38">
            <v>840.92</v>
          </cell>
          <cell r="G38">
            <v>0.05</v>
          </cell>
          <cell r="I38">
            <v>359.49</v>
          </cell>
        </row>
        <row r="39">
          <cell r="A39" t="str">
            <v>CUST028</v>
          </cell>
          <cell r="E39">
            <v>1410.06</v>
          </cell>
          <cell r="G39">
            <v>0.05</v>
          </cell>
          <cell r="I39">
            <v>468.84</v>
          </cell>
        </row>
        <row r="40">
          <cell r="A40" t="str">
            <v>CUST008</v>
          </cell>
          <cell r="E40">
            <v>773.09</v>
          </cell>
          <cell r="G40">
            <v>0.15</v>
          </cell>
          <cell r="I40">
            <v>229.99</v>
          </cell>
        </row>
        <row r="41">
          <cell r="A41" t="str">
            <v>CUST016</v>
          </cell>
          <cell r="E41">
            <v>580.42999999999995</v>
          </cell>
          <cell r="G41">
            <v>0.15</v>
          </cell>
          <cell r="I41">
            <v>197.35</v>
          </cell>
        </row>
        <row r="42">
          <cell r="A42" t="str">
            <v>CUST005</v>
          </cell>
          <cell r="E42">
            <v>1151.21</v>
          </cell>
          <cell r="G42">
            <v>0.1</v>
          </cell>
          <cell r="I42">
            <v>414.44</v>
          </cell>
        </row>
        <row r="43">
          <cell r="A43" t="str">
            <v>CUST028</v>
          </cell>
          <cell r="E43">
            <v>1025.98</v>
          </cell>
          <cell r="G43">
            <v>0.2</v>
          </cell>
          <cell r="I43">
            <v>369.35</v>
          </cell>
        </row>
        <row r="44">
          <cell r="A44" t="str">
            <v>CUST023</v>
          </cell>
          <cell r="E44">
            <v>556.41999999999996</v>
          </cell>
          <cell r="G44">
            <v>0.15</v>
          </cell>
          <cell r="I44">
            <v>212.83</v>
          </cell>
        </row>
        <row r="45">
          <cell r="A45" t="str">
            <v>CUST021</v>
          </cell>
          <cell r="E45">
            <v>840.85</v>
          </cell>
          <cell r="G45">
            <v>0.1</v>
          </cell>
          <cell r="I45">
            <v>302.70999999999998</v>
          </cell>
        </row>
        <row r="46">
          <cell r="A46" t="str">
            <v>CUST026</v>
          </cell>
          <cell r="E46">
            <v>1227.25</v>
          </cell>
          <cell r="G46">
            <v>0.15</v>
          </cell>
          <cell r="I46">
            <v>365.11</v>
          </cell>
        </row>
        <row r="47">
          <cell r="A47" t="str">
            <v>CUST017</v>
          </cell>
          <cell r="E47">
            <v>856.7</v>
          </cell>
          <cell r="G47">
            <v>0</v>
          </cell>
          <cell r="I47">
            <v>214.18</v>
          </cell>
        </row>
        <row r="48">
          <cell r="A48" t="str">
            <v>CUST025</v>
          </cell>
          <cell r="E48">
            <v>1225.42</v>
          </cell>
          <cell r="G48">
            <v>0.15</v>
          </cell>
          <cell r="I48">
            <v>468.72</v>
          </cell>
        </row>
        <row r="49">
          <cell r="A49" t="str">
            <v>CUST011</v>
          </cell>
          <cell r="E49">
            <v>1001.57</v>
          </cell>
          <cell r="G49">
            <v>0</v>
          </cell>
          <cell r="I49">
            <v>450.71</v>
          </cell>
        </row>
        <row r="50">
          <cell r="A50" t="str">
            <v>CUST021</v>
          </cell>
          <cell r="E50">
            <v>1186.8499999999999</v>
          </cell>
          <cell r="G50">
            <v>0.2</v>
          </cell>
          <cell r="I50">
            <v>332.32</v>
          </cell>
        </row>
        <row r="51">
          <cell r="A51" t="str">
            <v>CUST008</v>
          </cell>
          <cell r="E51">
            <v>775.45</v>
          </cell>
          <cell r="G51">
            <v>0.1</v>
          </cell>
          <cell r="I51">
            <v>174.48</v>
          </cell>
        </row>
        <row r="52">
          <cell r="A52" t="str">
            <v>CUST007</v>
          </cell>
          <cell r="E52">
            <v>1021.47</v>
          </cell>
          <cell r="G52">
            <v>0.05</v>
          </cell>
          <cell r="I52">
            <v>242.6</v>
          </cell>
        </row>
        <row r="53">
          <cell r="A53" t="str">
            <v>CUST015</v>
          </cell>
          <cell r="E53">
            <v>1226.6199999999999</v>
          </cell>
          <cell r="G53">
            <v>0.1</v>
          </cell>
          <cell r="I53">
            <v>551.98</v>
          </cell>
        </row>
        <row r="54">
          <cell r="A54" t="str">
            <v>CUST030</v>
          </cell>
          <cell r="E54">
            <v>1086.93</v>
          </cell>
          <cell r="G54">
            <v>0</v>
          </cell>
          <cell r="I54">
            <v>380.43</v>
          </cell>
        </row>
        <row r="55">
          <cell r="A55" t="str">
            <v>CUST002</v>
          </cell>
          <cell r="E55">
            <v>942.9</v>
          </cell>
          <cell r="G55">
            <v>0.1</v>
          </cell>
          <cell r="I55">
            <v>339.44</v>
          </cell>
        </row>
        <row r="56">
          <cell r="A56" t="str">
            <v>CUST009</v>
          </cell>
          <cell r="E56">
            <v>818.8</v>
          </cell>
          <cell r="G56">
            <v>0.15</v>
          </cell>
          <cell r="I56">
            <v>173.99</v>
          </cell>
        </row>
        <row r="57">
          <cell r="A57" t="str">
            <v>CUST005</v>
          </cell>
          <cell r="E57">
            <v>919.04</v>
          </cell>
          <cell r="G57">
            <v>0.2</v>
          </cell>
          <cell r="I57">
            <v>257.33</v>
          </cell>
        </row>
        <row r="58">
          <cell r="A58" t="str">
            <v>CUST030</v>
          </cell>
          <cell r="E58">
            <v>973.26</v>
          </cell>
          <cell r="G58">
            <v>0</v>
          </cell>
          <cell r="I58">
            <v>389.3</v>
          </cell>
        </row>
        <row r="59">
          <cell r="A59" t="str">
            <v>CUST029</v>
          </cell>
          <cell r="E59">
            <v>741.61</v>
          </cell>
          <cell r="G59">
            <v>0.2</v>
          </cell>
          <cell r="I59">
            <v>148.32</v>
          </cell>
        </row>
        <row r="60">
          <cell r="A60" t="str">
            <v>CUST003</v>
          </cell>
          <cell r="E60">
            <v>1248.82</v>
          </cell>
          <cell r="G60">
            <v>0.1</v>
          </cell>
          <cell r="I60">
            <v>449.58</v>
          </cell>
        </row>
        <row r="61">
          <cell r="A61" t="str">
            <v>CUST012</v>
          </cell>
          <cell r="E61">
            <v>1360.36</v>
          </cell>
          <cell r="G61">
            <v>0</v>
          </cell>
          <cell r="I61">
            <v>680.18</v>
          </cell>
        </row>
        <row r="62">
          <cell r="A62" t="str">
            <v>CUST021</v>
          </cell>
          <cell r="E62">
            <v>1383.3</v>
          </cell>
          <cell r="G62">
            <v>0.1</v>
          </cell>
          <cell r="I62">
            <v>497.99</v>
          </cell>
        </row>
        <row r="63">
          <cell r="A63" t="str">
            <v>CUST010</v>
          </cell>
          <cell r="E63">
            <v>488.99</v>
          </cell>
          <cell r="G63">
            <v>0</v>
          </cell>
          <cell r="I63">
            <v>220.05</v>
          </cell>
        </row>
        <row r="64">
          <cell r="A64" t="str">
            <v>CUST026</v>
          </cell>
          <cell r="E64">
            <v>933.71</v>
          </cell>
          <cell r="G64">
            <v>0.1</v>
          </cell>
          <cell r="I64">
            <v>294.12</v>
          </cell>
        </row>
        <row r="65">
          <cell r="A65" t="str">
            <v>CUST003</v>
          </cell>
          <cell r="E65">
            <v>1005.53</v>
          </cell>
          <cell r="G65">
            <v>0.2</v>
          </cell>
          <cell r="I65">
            <v>201.11</v>
          </cell>
        </row>
        <row r="66">
          <cell r="A66" t="str">
            <v>CUST029</v>
          </cell>
          <cell r="E66">
            <v>1100.0999999999999</v>
          </cell>
          <cell r="G66">
            <v>0.05</v>
          </cell>
          <cell r="I66">
            <v>261.27</v>
          </cell>
        </row>
        <row r="67">
          <cell r="A67" t="str">
            <v>CUST003</v>
          </cell>
          <cell r="E67">
            <v>1034.7</v>
          </cell>
          <cell r="G67">
            <v>0.15</v>
          </cell>
          <cell r="I67">
            <v>307.82</v>
          </cell>
        </row>
        <row r="68">
          <cell r="A68" t="str">
            <v>CUST002</v>
          </cell>
          <cell r="E68">
            <v>876.44</v>
          </cell>
          <cell r="G68">
            <v>0.05</v>
          </cell>
          <cell r="I68">
            <v>333.05</v>
          </cell>
        </row>
        <row r="69">
          <cell r="A69" t="str">
            <v>CUST020</v>
          </cell>
          <cell r="E69">
            <v>1371.34</v>
          </cell>
          <cell r="G69">
            <v>0.05</v>
          </cell>
          <cell r="I69">
            <v>455.97</v>
          </cell>
        </row>
        <row r="70">
          <cell r="A70" t="str">
            <v>CUST021</v>
          </cell>
          <cell r="E70">
            <v>1020.26</v>
          </cell>
          <cell r="G70">
            <v>0.05</v>
          </cell>
          <cell r="I70">
            <v>242.31</v>
          </cell>
        </row>
        <row r="71">
          <cell r="A71" t="str">
            <v>CUST008</v>
          </cell>
          <cell r="E71">
            <v>804.81</v>
          </cell>
          <cell r="G71">
            <v>0.05</v>
          </cell>
          <cell r="I71">
            <v>344.06</v>
          </cell>
        </row>
        <row r="72">
          <cell r="A72" t="str">
            <v>CUST030</v>
          </cell>
          <cell r="E72">
            <v>608.66</v>
          </cell>
          <cell r="G72">
            <v>0.05</v>
          </cell>
          <cell r="I72">
            <v>144.56</v>
          </cell>
        </row>
        <row r="73">
          <cell r="A73" t="str">
            <v>CUST020</v>
          </cell>
          <cell r="E73">
            <v>981.2</v>
          </cell>
          <cell r="G73">
            <v>0</v>
          </cell>
          <cell r="I73">
            <v>441.54</v>
          </cell>
        </row>
        <row r="74">
          <cell r="A74" t="str">
            <v>CUST024</v>
          </cell>
          <cell r="E74">
            <v>539.77</v>
          </cell>
          <cell r="G74">
            <v>0.15</v>
          </cell>
          <cell r="I74">
            <v>114.7</v>
          </cell>
        </row>
        <row r="75">
          <cell r="A75" t="str">
            <v>CUST012</v>
          </cell>
          <cell r="E75">
            <v>804.45</v>
          </cell>
          <cell r="G75">
            <v>0.2</v>
          </cell>
          <cell r="I75">
            <v>257.42</v>
          </cell>
        </row>
        <row r="76">
          <cell r="A76" t="str">
            <v>CUST024</v>
          </cell>
          <cell r="E76">
            <v>1526.6</v>
          </cell>
          <cell r="G76">
            <v>0.2</v>
          </cell>
          <cell r="I76">
            <v>305.32</v>
          </cell>
        </row>
        <row r="77">
          <cell r="A77" t="str">
            <v>CUST012</v>
          </cell>
          <cell r="E77">
            <v>1215.26</v>
          </cell>
          <cell r="G77">
            <v>0.15</v>
          </cell>
          <cell r="I77">
            <v>258.24</v>
          </cell>
        </row>
        <row r="78">
          <cell r="A78" t="str">
            <v>CUST005</v>
          </cell>
          <cell r="E78">
            <v>1261.3399999999999</v>
          </cell>
          <cell r="G78">
            <v>0</v>
          </cell>
          <cell r="I78">
            <v>441.47</v>
          </cell>
        </row>
        <row r="79">
          <cell r="A79" t="str">
            <v>CUST004</v>
          </cell>
          <cell r="E79">
            <v>518.07000000000005</v>
          </cell>
          <cell r="G79">
            <v>0.05</v>
          </cell>
          <cell r="I79">
            <v>172.26</v>
          </cell>
        </row>
        <row r="80">
          <cell r="A80" t="str">
            <v>CUST026</v>
          </cell>
          <cell r="E80">
            <v>1111.3399999999999</v>
          </cell>
          <cell r="G80">
            <v>0</v>
          </cell>
          <cell r="I80">
            <v>500.1</v>
          </cell>
        </row>
        <row r="81">
          <cell r="A81" t="str">
            <v>CUST030</v>
          </cell>
          <cell r="E81">
            <v>1291.47</v>
          </cell>
          <cell r="G81">
            <v>0.1</v>
          </cell>
          <cell r="I81">
            <v>581.16</v>
          </cell>
        </row>
        <row r="82">
          <cell r="A82" t="str">
            <v>CUST007</v>
          </cell>
          <cell r="E82">
            <v>679.71</v>
          </cell>
          <cell r="G82">
            <v>0</v>
          </cell>
          <cell r="I82">
            <v>271.88</v>
          </cell>
        </row>
        <row r="83">
          <cell r="A83" t="str">
            <v>CUST020</v>
          </cell>
          <cell r="E83">
            <v>1143.69</v>
          </cell>
          <cell r="G83">
            <v>0</v>
          </cell>
          <cell r="I83">
            <v>400.29</v>
          </cell>
        </row>
        <row r="84">
          <cell r="A84" t="str">
            <v>CUST028</v>
          </cell>
          <cell r="E84">
            <v>790.08</v>
          </cell>
          <cell r="G84">
            <v>0.1</v>
          </cell>
          <cell r="I84">
            <v>177.77</v>
          </cell>
        </row>
        <row r="85">
          <cell r="A85" t="str">
            <v>CUST005</v>
          </cell>
          <cell r="E85">
            <v>1070.68</v>
          </cell>
          <cell r="G85">
            <v>0.05</v>
          </cell>
          <cell r="I85">
            <v>406.86</v>
          </cell>
        </row>
        <row r="86">
          <cell r="A86" t="str">
            <v>CUST015</v>
          </cell>
          <cell r="E86">
            <v>1168.8900000000001</v>
          </cell>
          <cell r="G86">
            <v>0.1</v>
          </cell>
          <cell r="I86">
            <v>526</v>
          </cell>
        </row>
        <row r="87">
          <cell r="A87" t="str">
            <v>CUST003</v>
          </cell>
          <cell r="E87">
            <v>1335.87</v>
          </cell>
          <cell r="G87">
            <v>0</v>
          </cell>
          <cell r="I87">
            <v>333.97</v>
          </cell>
        </row>
        <row r="88">
          <cell r="A88" t="str">
            <v>CUST023</v>
          </cell>
          <cell r="E88">
            <v>873.7</v>
          </cell>
          <cell r="G88">
            <v>0</v>
          </cell>
          <cell r="I88">
            <v>305.8</v>
          </cell>
        </row>
        <row r="89">
          <cell r="A89" t="str">
            <v>CUST004</v>
          </cell>
          <cell r="E89">
            <v>1443.98</v>
          </cell>
          <cell r="G89">
            <v>0</v>
          </cell>
          <cell r="I89">
            <v>649.79</v>
          </cell>
        </row>
        <row r="90">
          <cell r="A90" t="str">
            <v>CUST023</v>
          </cell>
          <cell r="E90">
            <v>1154.33</v>
          </cell>
          <cell r="G90">
            <v>0.15</v>
          </cell>
          <cell r="I90">
            <v>441.53</v>
          </cell>
        </row>
        <row r="91">
          <cell r="A91" t="str">
            <v>CUST022</v>
          </cell>
          <cell r="E91">
            <v>1264.49</v>
          </cell>
          <cell r="G91">
            <v>0.05</v>
          </cell>
          <cell r="I91">
            <v>480.51</v>
          </cell>
        </row>
        <row r="92">
          <cell r="A92" t="str">
            <v>CUST007</v>
          </cell>
          <cell r="E92">
            <v>1101.55</v>
          </cell>
          <cell r="G92">
            <v>0.1</v>
          </cell>
          <cell r="I92">
            <v>346.99</v>
          </cell>
        </row>
        <row r="93">
          <cell r="A93" t="str">
            <v>CUST013</v>
          </cell>
          <cell r="E93">
            <v>727.73</v>
          </cell>
          <cell r="G93">
            <v>0.1</v>
          </cell>
          <cell r="I93">
            <v>229.23</v>
          </cell>
        </row>
        <row r="94">
          <cell r="A94" t="str">
            <v>CUST027</v>
          </cell>
          <cell r="E94">
            <v>875.41</v>
          </cell>
          <cell r="G94">
            <v>0.15</v>
          </cell>
          <cell r="I94">
            <v>334.84</v>
          </cell>
        </row>
        <row r="95">
          <cell r="A95" t="str">
            <v>CUST003</v>
          </cell>
          <cell r="E95">
            <v>1158.94</v>
          </cell>
          <cell r="G95">
            <v>0.2</v>
          </cell>
          <cell r="I95">
            <v>231.79</v>
          </cell>
        </row>
        <row r="96">
          <cell r="A96" t="str">
            <v>CUST018</v>
          </cell>
          <cell r="E96">
            <v>966.3</v>
          </cell>
          <cell r="G96">
            <v>0.15</v>
          </cell>
          <cell r="I96">
            <v>328.54</v>
          </cell>
        </row>
        <row r="97">
          <cell r="A97" t="str">
            <v>CUST020</v>
          </cell>
          <cell r="E97">
            <v>917.48</v>
          </cell>
          <cell r="G97">
            <v>0</v>
          </cell>
          <cell r="I97">
            <v>366.99</v>
          </cell>
        </row>
        <row r="98">
          <cell r="A98" t="str">
            <v>CUST029</v>
          </cell>
          <cell r="E98">
            <v>1172.97</v>
          </cell>
          <cell r="G98">
            <v>0.15</v>
          </cell>
          <cell r="I98">
            <v>348.96</v>
          </cell>
        </row>
        <row r="99">
          <cell r="A99" t="str">
            <v>CUST021</v>
          </cell>
          <cell r="E99">
            <v>1205.82</v>
          </cell>
          <cell r="G99">
            <v>0.1</v>
          </cell>
          <cell r="I99">
            <v>542.62</v>
          </cell>
        </row>
        <row r="100">
          <cell r="A100" t="str">
            <v>CUST017</v>
          </cell>
          <cell r="E100">
            <v>826.93</v>
          </cell>
          <cell r="G100">
            <v>0.2</v>
          </cell>
          <cell r="I100">
            <v>297.69</v>
          </cell>
        </row>
        <row r="101">
          <cell r="A101" t="str">
            <v>CUST003</v>
          </cell>
          <cell r="E101">
            <v>902.19</v>
          </cell>
          <cell r="G101">
            <v>0</v>
          </cell>
          <cell r="I101">
            <v>451.1</v>
          </cell>
        </row>
        <row r="102">
          <cell r="A102" t="str">
            <v>CUST027</v>
          </cell>
          <cell r="E102">
            <v>585.97</v>
          </cell>
          <cell r="G102">
            <v>0.1</v>
          </cell>
          <cell r="I102">
            <v>210.95</v>
          </cell>
        </row>
        <row r="103">
          <cell r="A103" t="str">
            <v>CUST016</v>
          </cell>
          <cell r="E103">
            <v>990.19</v>
          </cell>
          <cell r="G103">
            <v>0.1</v>
          </cell>
          <cell r="I103">
            <v>445.59</v>
          </cell>
        </row>
        <row r="104">
          <cell r="A104" t="str">
            <v>CUST008</v>
          </cell>
          <cell r="E104">
            <v>1014.09</v>
          </cell>
          <cell r="G104">
            <v>0.2</v>
          </cell>
          <cell r="I104">
            <v>202.82</v>
          </cell>
        </row>
        <row r="105">
          <cell r="A105" t="str">
            <v>CUST012</v>
          </cell>
          <cell r="E105">
            <v>925.29</v>
          </cell>
          <cell r="G105">
            <v>0</v>
          </cell>
          <cell r="I105">
            <v>231.32</v>
          </cell>
        </row>
        <row r="106">
          <cell r="A106" t="str">
            <v>CUST025</v>
          </cell>
          <cell r="E106">
            <v>1286.54</v>
          </cell>
          <cell r="G106">
            <v>0</v>
          </cell>
          <cell r="I106">
            <v>450.29</v>
          </cell>
        </row>
        <row r="107">
          <cell r="A107" t="str">
            <v>CUST014</v>
          </cell>
          <cell r="E107">
            <v>961.62</v>
          </cell>
          <cell r="G107">
            <v>0.2</v>
          </cell>
          <cell r="I107">
            <v>307.72000000000003</v>
          </cell>
        </row>
        <row r="108">
          <cell r="A108" t="str">
            <v>CUST008</v>
          </cell>
          <cell r="E108">
            <v>1081.1400000000001</v>
          </cell>
          <cell r="G108">
            <v>0.15</v>
          </cell>
          <cell r="I108">
            <v>367.59</v>
          </cell>
        </row>
        <row r="109">
          <cell r="A109" t="str">
            <v>CUST015</v>
          </cell>
          <cell r="E109">
            <v>1923.66</v>
          </cell>
          <cell r="G109">
            <v>0.2</v>
          </cell>
          <cell r="I109">
            <v>769.46</v>
          </cell>
        </row>
        <row r="110">
          <cell r="A110" t="str">
            <v>CUST025</v>
          </cell>
          <cell r="E110">
            <v>728.71</v>
          </cell>
          <cell r="G110">
            <v>0.1</v>
          </cell>
          <cell r="I110">
            <v>327.92</v>
          </cell>
        </row>
        <row r="111">
          <cell r="A111" t="str">
            <v>CUST019</v>
          </cell>
          <cell r="E111">
            <v>1301.8900000000001</v>
          </cell>
          <cell r="G111">
            <v>0.15</v>
          </cell>
          <cell r="I111">
            <v>553.29999999999995</v>
          </cell>
        </row>
        <row r="112">
          <cell r="A112" t="str">
            <v>CUST024</v>
          </cell>
          <cell r="E112">
            <v>980.18</v>
          </cell>
          <cell r="G112">
            <v>0.1</v>
          </cell>
          <cell r="I112">
            <v>352.86</v>
          </cell>
        </row>
        <row r="113">
          <cell r="A113" t="str">
            <v>CUST027</v>
          </cell>
          <cell r="E113">
            <v>697.57</v>
          </cell>
          <cell r="G113">
            <v>0.1</v>
          </cell>
          <cell r="I113">
            <v>313.91000000000003</v>
          </cell>
        </row>
        <row r="114">
          <cell r="A114" t="str">
            <v>CUST006</v>
          </cell>
          <cell r="E114">
            <v>1193.6099999999999</v>
          </cell>
          <cell r="G114">
            <v>0.15</v>
          </cell>
          <cell r="I114">
            <v>355.1</v>
          </cell>
        </row>
        <row r="115">
          <cell r="A115" t="str">
            <v>CUST009</v>
          </cell>
          <cell r="E115">
            <v>771.02</v>
          </cell>
          <cell r="G115">
            <v>0</v>
          </cell>
          <cell r="I115">
            <v>192.76</v>
          </cell>
        </row>
        <row r="116">
          <cell r="A116" t="str">
            <v>CUST003</v>
          </cell>
          <cell r="E116">
            <v>661.09</v>
          </cell>
          <cell r="G116">
            <v>0.2</v>
          </cell>
          <cell r="I116">
            <v>264.44</v>
          </cell>
        </row>
        <row r="117">
          <cell r="A117" t="str">
            <v>CUST012</v>
          </cell>
          <cell r="E117">
            <v>688.83</v>
          </cell>
          <cell r="G117">
            <v>0</v>
          </cell>
          <cell r="I117">
            <v>172.21</v>
          </cell>
        </row>
        <row r="118">
          <cell r="A118" t="str">
            <v>CUST013</v>
          </cell>
          <cell r="E118">
            <v>1249.0999999999999</v>
          </cell>
          <cell r="G118">
            <v>0.05</v>
          </cell>
          <cell r="I118">
            <v>474.66</v>
          </cell>
        </row>
        <row r="119">
          <cell r="A119" t="str">
            <v>CUST008</v>
          </cell>
          <cell r="E119">
            <v>1014.22</v>
          </cell>
          <cell r="G119">
            <v>0.05</v>
          </cell>
          <cell r="I119">
            <v>433.58</v>
          </cell>
        </row>
        <row r="120">
          <cell r="A120" t="str">
            <v>CUST025</v>
          </cell>
          <cell r="E120">
            <v>1010.58</v>
          </cell>
          <cell r="G120">
            <v>0.15</v>
          </cell>
          <cell r="I120">
            <v>343.6</v>
          </cell>
        </row>
        <row r="121">
          <cell r="A121" t="str">
            <v>CUST026</v>
          </cell>
          <cell r="E121">
            <v>957.29</v>
          </cell>
          <cell r="G121">
            <v>0.05</v>
          </cell>
          <cell r="I121">
            <v>318.3</v>
          </cell>
        </row>
        <row r="122">
          <cell r="A122" t="str">
            <v>CUST001</v>
          </cell>
          <cell r="E122">
            <v>1077.92</v>
          </cell>
          <cell r="G122">
            <v>0.05</v>
          </cell>
          <cell r="I122">
            <v>358.41</v>
          </cell>
        </row>
        <row r="123">
          <cell r="A123" t="str">
            <v>CUST028</v>
          </cell>
          <cell r="E123">
            <v>1163.01</v>
          </cell>
          <cell r="G123">
            <v>0</v>
          </cell>
          <cell r="I123">
            <v>581.5</v>
          </cell>
        </row>
        <row r="124">
          <cell r="A124" t="str">
            <v>CUST025</v>
          </cell>
          <cell r="E124">
            <v>1014.56</v>
          </cell>
          <cell r="G124">
            <v>0.1</v>
          </cell>
          <cell r="I124">
            <v>410.9</v>
          </cell>
        </row>
        <row r="125">
          <cell r="A125" t="str">
            <v>CUST019</v>
          </cell>
          <cell r="E125">
            <v>718.04</v>
          </cell>
          <cell r="G125">
            <v>0</v>
          </cell>
          <cell r="I125">
            <v>179.51</v>
          </cell>
        </row>
        <row r="126">
          <cell r="A126" t="str">
            <v>CUST004</v>
          </cell>
          <cell r="E126">
            <v>1277.8499999999999</v>
          </cell>
          <cell r="G126">
            <v>0.2</v>
          </cell>
          <cell r="I126">
            <v>511.14</v>
          </cell>
        </row>
        <row r="127">
          <cell r="A127" t="str">
            <v>CUST024</v>
          </cell>
          <cell r="E127">
            <v>706.73</v>
          </cell>
          <cell r="G127">
            <v>0.15</v>
          </cell>
          <cell r="I127">
            <v>150.18</v>
          </cell>
        </row>
        <row r="128">
          <cell r="A128" t="str">
            <v>CUST002</v>
          </cell>
          <cell r="E128">
            <v>1410.59</v>
          </cell>
          <cell r="G128">
            <v>0</v>
          </cell>
          <cell r="I128">
            <v>352.65</v>
          </cell>
        </row>
        <row r="129">
          <cell r="A129" t="str">
            <v>CUST009</v>
          </cell>
          <cell r="E129">
            <v>1350.33</v>
          </cell>
          <cell r="G129">
            <v>0</v>
          </cell>
          <cell r="I129">
            <v>472.62</v>
          </cell>
        </row>
        <row r="130">
          <cell r="A130" t="str">
            <v>CUST029</v>
          </cell>
          <cell r="E130">
            <v>919.18</v>
          </cell>
          <cell r="G130">
            <v>0.15</v>
          </cell>
          <cell r="I130">
            <v>195.33</v>
          </cell>
        </row>
        <row r="131">
          <cell r="A131" t="str">
            <v>CUST027</v>
          </cell>
          <cell r="E131">
            <v>258.51</v>
          </cell>
          <cell r="G131">
            <v>0</v>
          </cell>
          <cell r="I131">
            <v>64.63</v>
          </cell>
        </row>
        <row r="132">
          <cell r="A132" t="str">
            <v>CUST011</v>
          </cell>
          <cell r="E132">
            <v>1213.48</v>
          </cell>
          <cell r="G132">
            <v>0.05</v>
          </cell>
          <cell r="I132">
            <v>461.12</v>
          </cell>
        </row>
        <row r="133">
          <cell r="A133" t="str">
            <v>CUST021</v>
          </cell>
          <cell r="E133">
            <v>1150.28</v>
          </cell>
          <cell r="G133">
            <v>0.05</v>
          </cell>
          <cell r="I133">
            <v>437.11</v>
          </cell>
        </row>
        <row r="134">
          <cell r="A134" t="str">
            <v>CUST014</v>
          </cell>
          <cell r="E134">
            <v>853.86</v>
          </cell>
          <cell r="G134">
            <v>0.1</v>
          </cell>
          <cell r="I134">
            <v>268.97000000000003</v>
          </cell>
        </row>
        <row r="135">
          <cell r="A135" t="str">
            <v>CUST018</v>
          </cell>
          <cell r="E135">
            <v>1061.04</v>
          </cell>
          <cell r="G135">
            <v>0</v>
          </cell>
          <cell r="I135">
            <v>265.26</v>
          </cell>
        </row>
        <row r="136">
          <cell r="A136" t="str">
            <v>CUST001</v>
          </cell>
          <cell r="E136">
            <v>894.55</v>
          </cell>
          <cell r="G136">
            <v>0.2</v>
          </cell>
          <cell r="I136">
            <v>178.91</v>
          </cell>
        </row>
        <row r="137">
          <cell r="A137" t="str">
            <v>CUST007</v>
          </cell>
          <cell r="E137">
            <v>833.91</v>
          </cell>
          <cell r="G137">
            <v>0.05</v>
          </cell>
          <cell r="I137">
            <v>356.5</v>
          </cell>
        </row>
        <row r="138">
          <cell r="A138" t="str">
            <v>CUST015</v>
          </cell>
          <cell r="E138">
            <v>820.19</v>
          </cell>
          <cell r="G138">
            <v>0.2</v>
          </cell>
          <cell r="I138">
            <v>229.65</v>
          </cell>
        </row>
        <row r="139">
          <cell r="A139" t="str">
            <v>CUST015</v>
          </cell>
          <cell r="E139">
            <v>511.74</v>
          </cell>
          <cell r="G139">
            <v>0.05</v>
          </cell>
          <cell r="I139">
            <v>121.54</v>
          </cell>
        </row>
        <row r="140">
          <cell r="A140" t="str">
            <v>CUST002</v>
          </cell>
          <cell r="E140">
            <v>806.03</v>
          </cell>
          <cell r="G140">
            <v>0.05</v>
          </cell>
          <cell r="I140">
            <v>268</v>
          </cell>
        </row>
        <row r="141">
          <cell r="A141" t="str">
            <v>CUST001</v>
          </cell>
          <cell r="E141">
            <v>1432.47</v>
          </cell>
          <cell r="G141">
            <v>0.15</v>
          </cell>
          <cell r="I141">
            <v>426.16</v>
          </cell>
        </row>
        <row r="142">
          <cell r="A142" t="str">
            <v>CUST027</v>
          </cell>
          <cell r="E142">
            <v>1488.58</v>
          </cell>
          <cell r="G142">
            <v>0.15</v>
          </cell>
          <cell r="I142">
            <v>316.32</v>
          </cell>
        </row>
        <row r="143">
          <cell r="A143" t="str">
            <v>CUST026</v>
          </cell>
          <cell r="E143">
            <v>1231.26</v>
          </cell>
          <cell r="G143">
            <v>0</v>
          </cell>
          <cell r="I143">
            <v>492.5</v>
          </cell>
        </row>
        <row r="144">
          <cell r="A144" t="str">
            <v>CUST026</v>
          </cell>
          <cell r="E144">
            <v>1161.67</v>
          </cell>
          <cell r="G144">
            <v>0.2</v>
          </cell>
          <cell r="I144">
            <v>232.33</v>
          </cell>
        </row>
        <row r="145">
          <cell r="A145" t="str">
            <v>CUST022</v>
          </cell>
          <cell r="E145">
            <v>388.23</v>
          </cell>
          <cell r="G145">
            <v>0.05</v>
          </cell>
          <cell r="I145">
            <v>165.97</v>
          </cell>
        </row>
        <row r="146">
          <cell r="A146" t="str">
            <v>CUST004</v>
          </cell>
          <cell r="E146">
            <v>1589.42</v>
          </cell>
          <cell r="G146">
            <v>0.15</v>
          </cell>
          <cell r="I146">
            <v>675.5</v>
          </cell>
        </row>
        <row r="147">
          <cell r="A147" t="str">
            <v>CUST001</v>
          </cell>
          <cell r="E147">
            <v>336.66</v>
          </cell>
          <cell r="G147">
            <v>0.2</v>
          </cell>
          <cell r="I147">
            <v>134.66</v>
          </cell>
        </row>
        <row r="148">
          <cell r="A148" t="str">
            <v>CUST022</v>
          </cell>
          <cell r="E148">
            <v>1353.79</v>
          </cell>
          <cell r="G148">
            <v>0.1</v>
          </cell>
          <cell r="I148">
            <v>487.36</v>
          </cell>
        </row>
        <row r="149">
          <cell r="A149" t="str">
            <v>CUST011</v>
          </cell>
          <cell r="E149">
            <v>662.61</v>
          </cell>
          <cell r="G149">
            <v>0.05</v>
          </cell>
          <cell r="I149">
            <v>314.74</v>
          </cell>
        </row>
        <row r="150">
          <cell r="A150" t="str">
            <v>CUST028</v>
          </cell>
          <cell r="E150">
            <v>309.42</v>
          </cell>
          <cell r="G150">
            <v>0.2</v>
          </cell>
          <cell r="I150">
            <v>111.39</v>
          </cell>
        </row>
        <row r="151">
          <cell r="A151" t="str">
            <v>CUST011</v>
          </cell>
          <cell r="E151">
            <v>884.63</v>
          </cell>
          <cell r="G151">
            <v>0.1</v>
          </cell>
          <cell r="I151">
            <v>318.47000000000003</v>
          </cell>
        </row>
        <row r="152">
          <cell r="A152" t="str">
            <v>CUST028</v>
          </cell>
          <cell r="E152">
            <v>745.05</v>
          </cell>
          <cell r="G152">
            <v>0.1</v>
          </cell>
          <cell r="I152">
            <v>301.75</v>
          </cell>
        </row>
        <row r="153">
          <cell r="A153" t="str">
            <v>CUST016</v>
          </cell>
          <cell r="E153">
            <v>870.23</v>
          </cell>
          <cell r="G153">
            <v>0.05</v>
          </cell>
          <cell r="I153">
            <v>413.36</v>
          </cell>
        </row>
        <row r="154">
          <cell r="A154" t="str">
            <v>CUST010</v>
          </cell>
          <cell r="E154">
            <v>862.19</v>
          </cell>
          <cell r="G154">
            <v>0.05</v>
          </cell>
          <cell r="I154">
            <v>286.68</v>
          </cell>
        </row>
        <row r="155">
          <cell r="A155" t="str">
            <v>CUST013</v>
          </cell>
          <cell r="E155">
            <v>1171.18</v>
          </cell>
          <cell r="G155">
            <v>0.05</v>
          </cell>
          <cell r="I155">
            <v>556.30999999999995</v>
          </cell>
        </row>
        <row r="156">
          <cell r="A156" t="str">
            <v>CUST015</v>
          </cell>
          <cell r="E156">
            <v>1054.56</v>
          </cell>
          <cell r="G156">
            <v>0.1</v>
          </cell>
          <cell r="I156">
            <v>332.19</v>
          </cell>
        </row>
        <row r="157">
          <cell r="A157" t="str">
            <v>CUST015</v>
          </cell>
          <cell r="E157">
            <v>1681.21</v>
          </cell>
          <cell r="G157">
            <v>0.2</v>
          </cell>
          <cell r="I157">
            <v>336.24</v>
          </cell>
        </row>
        <row r="158">
          <cell r="A158" t="str">
            <v>CUST015</v>
          </cell>
          <cell r="E158">
            <v>379.77</v>
          </cell>
          <cell r="G158">
            <v>0.05</v>
          </cell>
          <cell r="I158">
            <v>180.39</v>
          </cell>
        </row>
        <row r="159">
          <cell r="A159" t="str">
            <v>CUST008</v>
          </cell>
          <cell r="E159">
            <v>1076.33</v>
          </cell>
          <cell r="G159">
            <v>0.1</v>
          </cell>
          <cell r="I159">
            <v>484.35</v>
          </cell>
        </row>
        <row r="160">
          <cell r="A160" t="str">
            <v>CUST008</v>
          </cell>
          <cell r="E160">
            <v>1250.71</v>
          </cell>
          <cell r="G160">
            <v>0</v>
          </cell>
          <cell r="I160">
            <v>562.82000000000005</v>
          </cell>
        </row>
        <row r="161">
          <cell r="A161" t="str">
            <v>CUST023</v>
          </cell>
          <cell r="E161">
            <v>1118.3399999999999</v>
          </cell>
          <cell r="G161">
            <v>0.2</v>
          </cell>
          <cell r="I161">
            <v>447.34</v>
          </cell>
        </row>
        <row r="162">
          <cell r="A162" t="str">
            <v>CUST024</v>
          </cell>
          <cell r="E162">
            <v>1622.62</v>
          </cell>
          <cell r="G162">
            <v>0.2</v>
          </cell>
          <cell r="I162">
            <v>649.04999999999995</v>
          </cell>
        </row>
        <row r="163">
          <cell r="A163" t="str">
            <v>CUST018</v>
          </cell>
          <cell r="E163">
            <v>640.64</v>
          </cell>
          <cell r="G163">
            <v>0.2</v>
          </cell>
          <cell r="I163">
            <v>205</v>
          </cell>
        </row>
        <row r="164">
          <cell r="A164" t="str">
            <v>CUST030</v>
          </cell>
          <cell r="E164">
            <v>585.16</v>
          </cell>
          <cell r="G164">
            <v>0.1</v>
          </cell>
          <cell r="I164">
            <v>263.32</v>
          </cell>
        </row>
        <row r="165">
          <cell r="A165" t="str">
            <v>CUST030</v>
          </cell>
          <cell r="E165">
            <v>1109.98</v>
          </cell>
          <cell r="G165">
            <v>0.2</v>
          </cell>
          <cell r="I165">
            <v>443.99</v>
          </cell>
        </row>
        <row r="166">
          <cell r="A166" t="str">
            <v>CUST015</v>
          </cell>
          <cell r="E166">
            <v>1098.08</v>
          </cell>
          <cell r="G166">
            <v>0.1</v>
          </cell>
          <cell r="I166">
            <v>395.31</v>
          </cell>
        </row>
        <row r="167">
          <cell r="A167" t="str">
            <v>CUST002</v>
          </cell>
          <cell r="E167">
            <v>827.25</v>
          </cell>
          <cell r="G167">
            <v>0.1</v>
          </cell>
          <cell r="I167">
            <v>335.04</v>
          </cell>
        </row>
        <row r="168">
          <cell r="A168" t="str">
            <v>CUST024</v>
          </cell>
          <cell r="E168">
            <v>741.88</v>
          </cell>
          <cell r="G168">
            <v>0.1</v>
          </cell>
          <cell r="I168">
            <v>333.85</v>
          </cell>
        </row>
        <row r="169">
          <cell r="A169" t="str">
            <v>CUST004</v>
          </cell>
          <cell r="E169">
            <v>1311.26</v>
          </cell>
          <cell r="G169">
            <v>0.1</v>
          </cell>
          <cell r="I169">
            <v>531.05999999999995</v>
          </cell>
        </row>
        <row r="170">
          <cell r="A170" t="str">
            <v>CUST004</v>
          </cell>
          <cell r="E170">
            <v>573.32000000000005</v>
          </cell>
          <cell r="G170">
            <v>0.1</v>
          </cell>
          <cell r="I170">
            <v>232.19</v>
          </cell>
        </row>
        <row r="171">
          <cell r="A171" t="str">
            <v>CUST028</v>
          </cell>
          <cell r="E171">
            <v>1115.22</v>
          </cell>
          <cell r="G171">
            <v>0.2</v>
          </cell>
          <cell r="I171">
            <v>223.04</v>
          </cell>
        </row>
        <row r="172">
          <cell r="A172" t="str">
            <v>CUST012</v>
          </cell>
          <cell r="E172">
            <v>845.84</v>
          </cell>
          <cell r="G172">
            <v>0</v>
          </cell>
          <cell r="I172">
            <v>422.92</v>
          </cell>
        </row>
        <row r="173">
          <cell r="A173" t="str">
            <v>CUST026</v>
          </cell>
          <cell r="E173">
            <v>1029.8</v>
          </cell>
          <cell r="G173">
            <v>0</v>
          </cell>
          <cell r="I173">
            <v>257.45</v>
          </cell>
        </row>
        <row r="174">
          <cell r="A174" t="str">
            <v>CUST009</v>
          </cell>
          <cell r="E174">
            <v>1189.83</v>
          </cell>
          <cell r="G174">
            <v>0.2</v>
          </cell>
          <cell r="I174">
            <v>380.75</v>
          </cell>
        </row>
        <row r="175">
          <cell r="A175" t="str">
            <v>CUST003</v>
          </cell>
          <cell r="E175">
            <v>704.28</v>
          </cell>
          <cell r="G175">
            <v>0.2</v>
          </cell>
          <cell r="I175">
            <v>225.37</v>
          </cell>
        </row>
        <row r="176">
          <cell r="A176" t="str">
            <v>CUST002</v>
          </cell>
          <cell r="E176">
            <v>1618.22</v>
          </cell>
          <cell r="G176">
            <v>0.2</v>
          </cell>
          <cell r="I176">
            <v>582.55999999999995</v>
          </cell>
        </row>
        <row r="177">
          <cell r="A177" t="str">
            <v>CUST013</v>
          </cell>
          <cell r="E177">
            <v>1014.43</v>
          </cell>
          <cell r="G177">
            <v>0.15</v>
          </cell>
          <cell r="I177">
            <v>344.91</v>
          </cell>
        </row>
        <row r="178">
          <cell r="A178" t="str">
            <v>CUST018</v>
          </cell>
          <cell r="E178">
            <v>826.97</v>
          </cell>
          <cell r="G178">
            <v>0.2</v>
          </cell>
          <cell r="I178">
            <v>330.79</v>
          </cell>
        </row>
        <row r="179">
          <cell r="A179" t="str">
            <v>CUST017</v>
          </cell>
          <cell r="E179">
            <v>1022.23</v>
          </cell>
          <cell r="G179">
            <v>0.1</v>
          </cell>
          <cell r="I179">
            <v>460</v>
          </cell>
        </row>
        <row r="180">
          <cell r="A180" t="str">
            <v>CUST004</v>
          </cell>
          <cell r="E180">
            <v>1099.69</v>
          </cell>
          <cell r="G180">
            <v>0</v>
          </cell>
          <cell r="I180">
            <v>439.88</v>
          </cell>
        </row>
        <row r="181">
          <cell r="A181" t="str">
            <v>CUST028</v>
          </cell>
          <cell r="E181">
            <v>710.52</v>
          </cell>
          <cell r="G181">
            <v>0.1</v>
          </cell>
          <cell r="I181">
            <v>255.79</v>
          </cell>
        </row>
        <row r="182">
          <cell r="A182" t="str">
            <v>CUST028</v>
          </cell>
          <cell r="E182">
            <v>499.18</v>
          </cell>
          <cell r="G182">
            <v>0.2</v>
          </cell>
          <cell r="I182">
            <v>159.74</v>
          </cell>
        </row>
        <row r="183">
          <cell r="A183" t="str">
            <v>CUST014</v>
          </cell>
          <cell r="E183">
            <v>1064.19</v>
          </cell>
          <cell r="G183">
            <v>0.05</v>
          </cell>
          <cell r="I183">
            <v>404.39</v>
          </cell>
        </row>
        <row r="184">
          <cell r="A184" t="str">
            <v>CUST003</v>
          </cell>
          <cell r="E184">
            <v>438.76</v>
          </cell>
          <cell r="G184">
            <v>0.05</v>
          </cell>
          <cell r="I184">
            <v>187.57</v>
          </cell>
        </row>
        <row r="185">
          <cell r="A185" t="str">
            <v>CUST029</v>
          </cell>
          <cell r="E185">
            <v>864.98</v>
          </cell>
          <cell r="G185">
            <v>0.05</v>
          </cell>
          <cell r="I185">
            <v>410.87</v>
          </cell>
        </row>
        <row r="186">
          <cell r="A186" t="str">
            <v>CUST021</v>
          </cell>
          <cell r="E186">
            <v>984.93</v>
          </cell>
          <cell r="G186">
            <v>0.2</v>
          </cell>
          <cell r="I186">
            <v>275.77999999999997</v>
          </cell>
        </row>
        <row r="187">
          <cell r="A187" t="str">
            <v>CUST007</v>
          </cell>
          <cell r="E187">
            <v>1493.49</v>
          </cell>
          <cell r="G187">
            <v>0</v>
          </cell>
          <cell r="I187">
            <v>746.74</v>
          </cell>
        </row>
        <row r="188">
          <cell r="A188" t="str">
            <v>CUST009</v>
          </cell>
          <cell r="E188">
            <v>689.43</v>
          </cell>
          <cell r="G188">
            <v>0.1</v>
          </cell>
          <cell r="I188">
            <v>310.24</v>
          </cell>
        </row>
        <row r="189">
          <cell r="A189" t="str">
            <v>CUST023</v>
          </cell>
          <cell r="E189">
            <v>682.24</v>
          </cell>
          <cell r="G189">
            <v>0</v>
          </cell>
          <cell r="I189">
            <v>341.12</v>
          </cell>
        </row>
        <row r="190">
          <cell r="A190" t="str">
            <v>CUST029</v>
          </cell>
          <cell r="E190">
            <v>458.54</v>
          </cell>
          <cell r="G190">
            <v>0.2</v>
          </cell>
          <cell r="I190">
            <v>91.71</v>
          </cell>
        </row>
        <row r="191">
          <cell r="A191" t="str">
            <v>CUST009</v>
          </cell>
          <cell r="E191">
            <v>1184.25</v>
          </cell>
          <cell r="G191">
            <v>0.2</v>
          </cell>
          <cell r="I191">
            <v>331.59</v>
          </cell>
        </row>
        <row r="192">
          <cell r="A192" t="str">
            <v>CUST007</v>
          </cell>
          <cell r="E192">
            <v>762.14</v>
          </cell>
          <cell r="G192">
            <v>0</v>
          </cell>
          <cell r="I192">
            <v>381.07</v>
          </cell>
        </row>
        <row r="193">
          <cell r="A193" t="str">
            <v>CUST030</v>
          </cell>
          <cell r="E193">
            <v>750.71</v>
          </cell>
          <cell r="G193">
            <v>0.15</v>
          </cell>
          <cell r="I193">
            <v>255.24</v>
          </cell>
        </row>
        <row r="194">
          <cell r="A194" t="str">
            <v>CUST018</v>
          </cell>
          <cell r="E194">
            <v>1456.94</v>
          </cell>
          <cell r="G194">
            <v>0.05</v>
          </cell>
          <cell r="I194">
            <v>692.05</v>
          </cell>
        </row>
        <row r="195">
          <cell r="A195" t="str">
            <v>CUST008</v>
          </cell>
          <cell r="E195">
            <v>1093.3800000000001</v>
          </cell>
          <cell r="G195">
            <v>0.1</v>
          </cell>
          <cell r="I195">
            <v>344.41</v>
          </cell>
        </row>
        <row r="196">
          <cell r="A196" t="str">
            <v>CUST014</v>
          </cell>
          <cell r="E196">
            <v>934.27</v>
          </cell>
          <cell r="G196">
            <v>0.15</v>
          </cell>
          <cell r="I196">
            <v>397.06</v>
          </cell>
        </row>
        <row r="197">
          <cell r="A197" t="str">
            <v>CUST024</v>
          </cell>
          <cell r="E197">
            <v>1465.35</v>
          </cell>
          <cell r="G197">
            <v>0.2</v>
          </cell>
          <cell r="I197">
            <v>586.14</v>
          </cell>
        </row>
        <row r="198">
          <cell r="A198" t="str">
            <v>CUST028</v>
          </cell>
          <cell r="E198">
            <v>740.8</v>
          </cell>
          <cell r="G198">
            <v>0</v>
          </cell>
          <cell r="I198">
            <v>333.36</v>
          </cell>
        </row>
        <row r="199">
          <cell r="A199" t="str">
            <v>CUST015</v>
          </cell>
          <cell r="E199">
            <v>545.44000000000005</v>
          </cell>
          <cell r="G199">
            <v>0</v>
          </cell>
          <cell r="I199">
            <v>245.45</v>
          </cell>
        </row>
        <row r="200">
          <cell r="A200" t="str">
            <v>CUST010</v>
          </cell>
          <cell r="E200">
            <v>997.61</v>
          </cell>
          <cell r="G200">
            <v>0.05</v>
          </cell>
          <cell r="I200">
            <v>379.09</v>
          </cell>
        </row>
        <row r="201">
          <cell r="A201" t="str">
            <v>CUST016</v>
          </cell>
          <cell r="E201">
            <v>928.32</v>
          </cell>
          <cell r="G201">
            <v>0.05</v>
          </cell>
          <cell r="I201">
            <v>440.95</v>
          </cell>
        </row>
      </sheetData>
      <sheetData sheetId="1">
        <row r="50">
          <cell r="B50" t="str">
            <v>Sales</v>
          </cell>
          <cell r="E50" t="str">
            <v>Sales</v>
          </cell>
        </row>
        <row r="51">
          <cell r="A51" t="str">
            <v>Central</v>
          </cell>
          <cell r="B51">
            <v>43468.33</v>
          </cell>
          <cell r="D51" t="str">
            <v>Books</v>
          </cell>
          <cell r="E51">
            <v>47002.460000000006</v>
          </cell>
        </row>
        <row r="52">
          <cell r="A52" t="str">
            <v>East</v>
          </cell>
          <cell r="B52">
            <v>32441.640000000003</v>
          </cell>
          <cell r="D52" t="str">
            <v>Clothing</v>
          </cell>
          <cell r="E52">
            <v>41927.589999999997</v>
          </cell>
        </row>
        <row r="53">
          <cell r="A53" t="str">
            <v>North</v>
          </cell>
          <cell r="B53">
            <v>34975.420000000006</v>
          </cell>
          <cell r="D53" t="str">
            <v>Electronics</v>
          </cell>
          <cell r="E53">
            <v>41044</v>
          </cell>
        </row>
        <row r="54">
          <cell r="A54" t="str">
            <v>South</v>
          </cell>
          <cell r="B54">
            <v>40248.79</v>
          </cell>
          <cell r="D54" t="str">
            <v>Furniture</v>
          </cell>
          <cell r="E54">
            <v>36612.89</v>
          </cell>
        </row>
        <row r="55">
          <cell r="A55" t="str">
            <v>West</v>
          </cell>
          <cell r="B55">
            <v>44083.58</v>
          </cell>
          <cell r="D55" t="str">
            <v>Office Supplies</v>
          </cell>
          <cell r="E55">
            <v>28630.82</v>
          </cell>
        </row>
      </sheetData>
      <sheetData sheetId="2">
        <row r="2">
          <cell r="A2" t="str">
            <v>CUST001</v>
          </cell>
          <cell r="B2">
            <v>6549.55</v>
          </cell>
          <cell r="E2" t="str">
            <v>Regular</v>
          </cell>
          <cell r="H2">
            <v>8000</v>
          </cell>
        </row>
        <row r="3">
          <cell r="A3" t="str">
            <v>CUST002</v>
          </cell>
          <cell r="B3">
            <v>6481.43</v>
          </cell>
          <cell r="E3" t="str">
            <v>Regular</v>
          </cell>
        </row>
        <row r="4">
          <cell r="A4" t="str">
            <v>CUST003</v>
          </cell>
          <cell r="B4">
            <v>8490.18</v>
          </cell>
          <cell r="E4" t="str">
            <v>High Value</v>
          </cell>
        </row>
        <row r="5">
          <cell r="A5" t="str">
            <v>CUST004</v>
          </cell>
          <cell r="B5">
            <v>7813.59</v>
          </cell>
          <cell r="E5" t="str">
            <v>Regular</v>
          </cell>
        </row>
        <row r="6">
          <cell r="A6" t="str">
            <v>CUST005</v>
          </cell>
          <cell r="B6">
            <v>6666.130000000001</v>
          </cell>
          <cell r="E6" t="str">
            <v>Regular</v>
          </cell>
        </row>
        <row r="7">
          <cell r="A7" t="str">
            <v>CUST006</v>
          </cell>
          <cell r="B7">
            <v>2699.75</v>
          </cell>
          <cell r="E7" t="str">
            <v>Regular</v>
          </cell>
        </row>
        <row r="8">
          <cell r="A8" t="str">
            <v>CUST007</v>
          </cell>
          <cell r="B8">
            <v>9941.8799999999992</v>
          </cell>
          <cell r="E8" t="str">
            <v>High Value</v>
          </cell>
        </row>
        <row r="9">
          <cell r="A9" t="str">
            <v>CUST008</v>
          </cell>
          <cell r="B9">
            <v>9760.7999999999993</v>
          </cell>
          <cell r="E9" t="str">
            <v>High Value</v>
          </cell>
        </row>
        <row r="10">
          <cell r="A10" t="str">
            <v>CUST009</v>
          </cell>
          <cell r="B10">
            <v>6505.2</v>
          </cell>
          <cell r="E10" t="str">
            <v>Regular</v>
          </cell>
        </row>
        <row r="11">
          <cell r="A11" t="str">
            <v>CUST010</v>
          </cell>
          <cell r="B11">
            <v>4259.22</v>
          </cell>
          <cell r="E11" t="str">
            <v>Regular</v>
          </cell>
        </row>
        <row r="12">
          <cell r="A12" t="str">
            <v>CUST011</v>
          </cell>
          <cell r="B12">
            <v>3762.2900000000004</v>
          </cell>
          <cell r="E12" t="str">
            <v>Regular</v>
          </cell>
        </row>
        <row r="13">
          <cell r="A13" t="str">
            <v>CUST012</v>
          </cell>
          <cell r="B13">
            <v>8339</v>
          </cell>
          <cell r="E13" t="str">
            <v>High Value</v>
          </cell>
        </row>
        <row r="14">
          <cell r="A14" t="str">
            <v>CUST013</v>
          </cell>
          <cell r="B14">
            <v>4162.4400000000005</v>
          </cell>
          <cell r="E14" t="str">
            <v>Regular</v>
          </cell>
        </row>
        <row r="15">
          <cell r="A15" t="str">
            <v>CUST014</v>
          </cell>
          <cell r="B15">
            <v>6729.8899999999994</v>
          </cell>
          <cell r="E15" t="str">
            <v>Regular</v>
          </cell>
        </row>
        <row r="16">
          <cell r="A16" t="str">
            <v>CUST015</v>
          </cell>
          <cell r="B16">
            <v>11611.060000000001</v>
          </cell>
          <cell r="E16" t="str">
            <v>High Value</v>
          </cell>
        </row>
        <row r="17">
          <cell r="A17" t="str">
            <v>CUST016</v>
          </cell>
          <cell r="B17">
            <v>3369.17</v>
          </cell>
          <cell r="E17" t="str">
            <v>Regular</v>
          </cell>
        </row>
        <row r="18">
          <cell r="A18" t="str">
            <v>CUST017</v>
          </cell>
          <cell r="B18">
            <v>3419.2</v>
          </cell>
          <cell r="E18" t="str">
            <v>Regular</v>
          </cell>
        </row>
        <row r="19">
          <cell r="A19" t="str">
            <v>CUST018</v>
          </cell>
          <cell r="B19">
            <v>4951.8899999999994</v>
          </cell>
          <cell r="E19" t="str">
            <v>Regular</v>
          </cell>
        </row>
        <row r="20">
          <cell r="A20" t="str">
            <v>CUST019</v>
          </cell>
          <cell r="B20">
            <v>4640.1099999999997</v>
          </cell>
          <cell r="E20" t="str">
            <v>Regular</v>
          </cell>
        </row>
        <row r="21">
          <cell r="A21" t="str">
            <v>CUST020</v>
          </cell>
          <cell r="B21">
            <v>4413.71</v>
          </cell>
          <cell r="E21" t="str">
            <v>Regular</v>
          </cell>
        </row>
        <row r="22">
          <cell r="A22" t="str">
            <v>CUST021</v>
          </cell>
          <cell r="B22">
            <v>8740.18</v>
          </cell>
          <cell r="E22" t="str">
            <v>High Value</v>
          </cell>
        </row>
        <row r="23">
          <cell r="A23" t="str">
            <v>CUST022</v>
          </cell>
          <cell r="B23">
            <v>4418.2800000000007</v>
          </cell>
          <cell r="E23" t="str">
            <v>Regular</v>
          </cell>
        </row>
        <row r="24">
          <cell r="A24" t="str">
            <v>CUST023</v>
          </cell>
          <cell r="B24">
            <v>5913.68</v>
          </cell>
          <cell r="E24" t="str">
            <v>Regular</v>
          </cell>
        </row>
        <row r="25">
          <cell r="A25" t="str">
            <v>CUST024</v>
          </cell>
          <cell r="B25">
            <v>7583.1299999999992</v>
          </cell>
          <cell r="E25" t="str">
            <v>Regular</v>
          </cell>
        </row>
        <row r="26">
          <cell r="A26" t="str">
            <v>CUST025</v>
          </cell>
          <cell r="B26">
            <v>6716.52</v>
          </cell>
          <cell r="E26" t="str">
            <v>Regular</v>
          </cell>
        </row>
        <row r="27">
          <cell r="A27" t="str">
            <v>CUST026</v>
          </cell>
          <cell r="B27">
            <v>9371.81</v>
          </cell>
          <cell r="E27" t="str">
            <v>High Value</v>
          </cell>
        </row>
        <row r="28">
          <cell r="A28" t="str">
            <v>CUST027</v>
          </cell>
          <cell r="B28">
            <v>3906.04</v>
          </cell>
          <cell r="E28" t="str">
            <v>Regular</v>
          </cell>
        </row>
        <row r="29">
          <cell r="A29" t="str">
            <v>CUST028</v>
          </cell>
          <cell r="B29">
            <v>10293.870000000001</v>
          </cell>
          <cell r="E29" t="str">
            <v>High Value</v>
          </cell>
        </row>
        <row r="30">
          <cell r="A30" t="str">
            <v>CUST029</v>
          </cell>
          <cell r="B30">
            <v>5779.05</v>
          </cell>
          <cell r="E30" t="str">
            <v>Regular</v>
          </cell>
        </row>
        <row r="31">
          <cell r="A31" t="str">
            <v>CUST030</v>
          </cell>
          <cell r="B31">
            <v>7928.71</v>
          </cell>
          <cell r="E31" t="str">
            <v>Regular</v>
          </cell>
        </row>
      </sheetData>
      <sheetData sheetId="3">
        <row r="2">
          <cell r="B2">
            <v>68287.010000000009</v>
          </cell>
        </row>
        <row r="7">
          <cell r="C7" t="str">
            <v>Total Profit</v>
          </cell>
        </row>
        <row r="8">
          <cell r="A8">
            <v>0</v>
          </cell>
          <cell r="C8">
            <v>91096.443979188189</v>
          </cell>
        </row>
        <row r="9">
          <cell r="A9">
            <v>0.05</v>
          </cell>
          <cell r="C9">
            <v>80195.084280228795</v>
          </cell>
        </row>
        <row r="10">
          <cell r="A10">
            <v>0.1</v>
          </cell>
          <cell r="C10">
            <v>69293.724581269402</v>
          </cell>
        </row>
        <row r="11">
          <cell r="A11">
            <v>0.15</v>
          </cell>
          <cell r="C11">
            <v>58392.364882309979</v>
          </cell>
        </row>
        <row r="12">
          <cell r="A12">
            <v>0.2</v>
          </cell>
          <cell r="C12">
            <v>47491.005183350615</v>
          </cell>
        </row>
        <row r="13">
          <cell r="A13">
            <v>0.25</v>
          </cell>
          <cell r="C13">
            <v>36589.645484391192</v>
          </cell>
        </row>
      </sheetData>
      <sheetData sheetId="4">
        <row r="7">
          <cell r="B7">
            <v>0.59815229962644056</v>
          </cell>
        </row>
        <row r="20">
          <cell r="B20">
            <v>0.35085598819512254</v>
          </cell>
        </row>
      </sheetData>
      <sheetData sheetId="5"/>
      <sheetData sheetId="6">
        <row r="1">
          <cell r="B1" t="str">
            <v>Sales</v>
          </cell>
        </row>
        <row r="2">
          <cell r="A2">
            <v>45383</v>
          </cell>
          <cell r="B2">
            <v>19029.96</v>
          </cell>
        </row>
        <row r="3">
          <cell r="A3">
            <v>45413</v>
          </cell>
          <cell r="B3">
            <v>18507.339999999997</v>
          </cell>
        </row>
        <row r="4">
          <cell r="A4">
            <v>45444</v>
          </cell>
          <cell r="B4">
            <v>20187.509999999998</v>
          </cell>
        </row>
        <row r="5">
          <cell r="A5">
            <v>45474</v>
          </cell>
          <cell r="B5">
            <v>11609.039999999999</v>
          </cell>
        </row>
        <row r="6">
          <cell r="A6">
            <v>45505</v>
          </cell>
          <cell r="B6">
            <v>10091.699999999999</v>
          </cell>
        </row>
        <row r="7">
          <cell r="A7">
            <v>45536</v>
          </cell>
          <cell r="B7">
            <v>20533.499999999996</v>
          </cell>
        </row>
        <row r="8">
          <cell r="A8">
            <v>45566</v>
          </cell>
          <cell r="B8">
            <v>14215.240000000002</v>
          </cell>
        </row>
        <row r="9">
          <cell r="A9">
            <v>45597</v>
          </cell>
          <cell r="B9">
            <v>20135.030000000002</v>
          </cell>
        </row>
        <row r="10">
          <cell r="A10">
            <v>45627</v>
          </cell>
          <cell r="B10">
            <v>11120.04</v>
          </cell>
        </row>
        <row r="11">
          <cell r="A11">
            <v>45658</v>
          </cell>
          <cell r="B11">
            <v>14914.650000000001</v>
          </cell>
        </row>
        <row r="12">
          <cell r="A12">
            <v>45689</v>
          </cell>
          <cell r="B12">
            <v>14006.359999999999</v>
          </cell>
        </row>
        <row r="13">
          <cell r="A13">
            <v>45717</v>
          </cell>
          <cell r="B13">
            <v>17655.219999999998</v>
          </cell>
        </row>
        <row r="14">
          <cell r="A14">
            <v>45748</v>
          </cell>
          <cell r="B14">
            <v>3212.17</v>
          </cell>
        </row>
      </sheetData>
      <sheetData sheetId="7">
        <row r="3">
          <cell r="B3" t="str">
            <v>Books</v>
          </cell>
          <cell r="C3" t="str">
            <v>Clothing</v>
          </cell>
          <cell r="D3" t="str">
            <v>Electronics</v>
          </cell>
          <cell r="E3" t="str">
            <v>Furniture</v>
          </cell>
          <cell r="F3" t="str">
            <v>Office Supplies</v>
          </cell>
        </row>
        <row r="4">
          <cell r="A4" t="str">
            <v>Central</v>
          </cell>
          <cell r="G4">
            <v>43468.33</v>
          </cell>
        </row>
        <row r="5">
          <cell r="A5" t="str">
            <v>East</v>
          </cell>
          <cell r="G5">
            <v>32441.640000000003</v>
          </cell>
        </row>
        <row r="6">
          <cell r="A6" t="str">
            <v>North</v>
          </cell>
          <cell r="G6">
            <v>34975.420000000006</v>
          </cell>
        </row>
        <row r="7">
          <cell r="A7" t="str">
            <v>South</v>
          </cell>
          <cell r="G7">
            <v>40248.79</v>
          </cell>
        </row>
        <row r="8">
          <cell r="A8" t="str">
            <v>West</v>
          </cell>
          <cell r="G8">
            <v>44083.58</v>
          </cell>
        </row>
        <row r="9">
          <cell r="B9">
            <v>47002.460000000006</v>
          </cell>
          <cell r="C9">
            <v>41927.589999999997</v>
          </cell>
          <cell r="D9">
            <v>41044</v>
          </cell>
          <cell r="E9">
            <v>36612.89</v>
          </cell>
          <cell r="F9">
            <v>28630.82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KSH PATEL" refreshedDate="46307.852917245371" createdVersion="8" refreshedVersion="8" minRefreshableVersion="3" recordCount="200" xr:uid="{173AF27A-174F-4A45-9E92-F471C2E26877}">
  <cacheSource type="worksheet">
    <worksheetSource ref="A1:J201" sheet="Q.6"/>
  </cacheSource>
  <cacheFields count="12">
    <cacheField name="Customer_ID" numFmtId="0">
      <sharedItems/>
    </cacheField>
    <cacheField name="Customer_Name" numFmtId="0">
      <sharedItems/>
    </cacheField>
    <cacheField name="Region" numFmtId="0">
      <sharedItems/>
    </cacheField>
    <cacheField name="Product_Category" numFmtId="0">
      <sharedItems/>
    </cacheField>
    <cacheField name="Sales" numFmtId="2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Profit" numFmtId="0">
      <sharedItems containsSemiMixedTypes="0" containsString="0" containsNumber="1" minValue="64.63" maxValue="769.46"/>
    </cacheField>
    <cacheField name="Order_Date" numFmtId="165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1"/>
    </cacheField>
    <cacheField name="Profit2" numFmtId="0">
      <sharedItems containsSemiMixedTypes="0" containsString="0" containsNumber="1" minValue="64.63" maxValue="769.46"/>
    </cacheField>
    <cacheField name="Months (Order_Date)" numFmtId="0" databaseField="0">
      <fieldGroup base="8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Years (Order_Date)" numFmtId="0" databaseField="0">
      <fieldGroup base="8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KSH PATEL" refreshedDate="46307.89874571759" createdVersion="8" refreshedVersion="8" minRefreshableVersion="3" recordCount="196" xr:uid="{1896B9FD-AF21-4FBF-8B84-769B690F08B9}">
  <cacheSource type="worksheet">
    <worksheetSource ref="A1:I197" sheet="Sheet1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2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65">
      <sharedItems containsSemiMixedTypes="0" containsNonDate="0" containsDate="1" containsString="0" minDate="2024-04-10T00:00:00" maxDate="2025-03-31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s v="West"/>
    <s v="Books"/>
    <n v="1036.0899999999999"/>
    <n v="4"/>
    <n v="0.2"/>
    <n v="331.55"/>
    <x v="0"/>
    <n v="331.55"/>
  </r>
  <r>
    <s v="CUST012"/>
    <s v="Robert Anderson"/>
    <s v="West"/>
    <s v="Clothing"/>
    <n v="1101.28"/>
    <n v="3"/>
    <n v="0.2"/>
    <n v="440.51"/>
    <x v="1"/>
    <n v="440.51"/>
  </r>
  <r>
    <s v="CUST017"/>
    <s v="James Taylor"/>
    <s v="East"/>
    <s v="Books"/>
    <n v="713.34"/>
    <n v="17"/>
    <n v="0"/>
    <n v="285.33999999999997"/>
    <x v="2"/>
    <n v="285.33999999999997"/>
  </r>
  <r>
    <s v="CUST005"/>
    <s v="Robert Anderson"/>
    <s v="South"/>
    <s v="Electronics"/>
    <n v="760.93"/>
    <n v="4"/>
    <n v="0.15"/>
    <n v="161.69999999999999"/>
    <x v="2"/>
    <n v="161.69999999999999"/>
  </r>
  <r>
    <s v="CUST030"/>
    <s v="James Wilson"/>
    <s v="North"/>
    <s v="Books"/>
    <n v="847"/>
    <n v="12"/>
    <n v="0.2"/>
    <n v="271.04000000000002"/>
    <x v="3"/>
    <n v="271.04000000000002"/>
  </r>
  <r>
    <s v="CUST007"/>
    <s v="Michael Anderson"/>
    <s v="North"/>
    <s v="Furniture"/>
    <n v="965.64"/>
    <n v="8"/>
    <n v="0.1"/>
    <n v="304.18"/>
    <x v="4"/>
    <n v="304.18"/>
  </r>
  <r>
    <s v="CUST001"/>
    <s v="Linda Wilson"/>
    <s v="West"/>
    <s v="Electronics"/>
    <n v="1317.53"/>
    <n v="12"/>
    <n v="0.05"/>
    <n v="312.91000000000003"/>
    <x v="4"/>
    <n v="312.91000000000003"/>
  </r>
  <r>
    <s v="CUST026"/>
    <s v="Mary Davis"/>
    <s v="East"/>
    <s v="Furniture"/>
    <n v="1074.47"/>
    <n v="6"/>
    <n v="0.2"/>
    <n v="300.85000000000002"/>
    <x v="5"/>
    <n v="300.85000000000002"/>
  </r>
  <r>
    <s v="CUST009"/>
    <s v="Linda Jackson"/>
    <s v="Central"/>
    <s v="Books"/>
    <n v="501.54"/>
    <n v="11"/>
    <n v="0.05"/>
    <n v="190.59"/>
    <x v="5"/>
    <n v="190.59"/>
  </r>
  <r>
    <s v="CUST010"/>
    <s v="David Thomas"/>
    <s v="Central"/>
    <s v="Clothing"/>
    <n v="737.31"/>
    <n v="2"/>
    <n v="0.05"/>
    <n v="350.22"/>
    <x v="5"/>
    <n v="350.22"/>
  </r>
  <r>
    <s v="CUST014"/>
    <s v="Emma Davis"/>
    <s v="West"/>
    <s v="Office Supplies"/>
    <n v="1572.82"/>
    <n v="6"/>
    <n v="0.05"/>
    <n v="672.38"/>
    <x v="6"/>
    <n v="672.38"/>
  </r>
  <r>
    <s v="CUST014"/>
    <s v="David Thomas"/>
    <s v="Central"/>
    <s v="Books"/>
    <n v="1343.13"/>
    <n v="14"/>
    <n v="0.15"/>
    <n v="456.66"/>
    <x v="7"/>
    <n v="456.66"/>
  </r>
  <r>
    <s v="CUST007"/>
    <s v="Michael Anderson"/>
    <s v="Central"/>
    <s v="Books"/>
    <n v="1191.58"/>
    <n v="14"/>
    <n v="0.05"/>
    <n v="452.8"/>
    <x v="8"/>
    <n v="452.8"/>
  </r>
  <r>
    <s v="CUST023"/>
    <s v="Robert Anderson"/>
    <s v="West"/>
    <s v="Furniture"/>
    <n v="822.28"/>
    <n v="7"/>
    <n v="0.05"/>
    <n v="273.41000000000003"/>
    <x v="8"/>
    <n v="273.41000000000003"/>
  </r>
  <r>
    <s v="CUST029"/>
    <s v="David Smith"/>
    <s v="North"/>
    <s v="Furniture"/>
    <n v="521.66999999999996"/>
    <n v="15"/>
    <n v="0.15"/>
    <n v="155.19999999999999"/>
    <x v="9"/>
    <n v="155.19999999999999"/>
  </r>
  <r>
    <s v="CUST005"/>
    <s v="Sarah Anderson"/>
    <s v="South"/>
    <s v="Electronics"/>
    <n v="1502.93"/>
    <n v="14"/>
    <n v="0.2"/>
    <n v="300.58999999999997"/>
    <x v="10"/>
    <n v="300.58999999999997"/>
  </r>
  <r>
    <s v="CUST008"/>
    <s v="Robert Anderson"/>
    <s v="South"/>
    <s v="Books"/>
    <n v="877.58"/>
    <n v="10"/>
    <n v="0.15"/>
    <n v="298.38"/>
    <x v="11"/>
    <n v="298.38"/>
  </r>
  <r>
    <s v="CUST001"/>
    <s v="Lisa Thomas"/>
    <s v="West"/>
    <s v="Books"/>
    <n v="636.70000000000005"/>
    <n v="4"/>
    <n v="0.2"/>
    <n v="203.74"/>
    <x v="11"/>
    <n v="203.74"/>
  </r>
  <r>
    <s v="CUST006"/>
    <s v="Mary Jackson"/>
    <s v="West"/>
    <s v="Books"/>
    <n v="1506.14"/>
    <n v="13"/>
    <n v="0.2"/>
    <n v="481.96"/>
    <x v="12"/>
    <n v="481.96"/>
  </r>
  <r>
    <s v="CUST026"/>
    <s v="Mary Davis"/>
    <s v="Central"/>
    <s v="Electronics"/>
    <n v="645.02"/>
    <n v="4"/>
    <n v="0"/>
    <n v="161.26"/>
    <x v="13"/>
    <n v="161.26"/>
  </r>
  <r>
    <s v="CUST007"/>
    <s v="Lisa Davis"/>
    <s v="South"/>
    <s v="Clothing"/>
    <n v="953.3"/>
    <n v="11"/>
    <n v="0"/>
    <n v="476.65"/>
    <x v="14"/>
    <n v="476.65"/>
  </r>
  <r>
    <s v="CUST022"/>
    <s v="Robert Anderson"/>
    <s v="North"/>
    <s v="Electronics"/>
    <n v="388.56"/>
    <n v="14"/>
    <n v="0.15"/>
    <n v="82.57"/>
    <x v="15"/>
    <n v="82.57"/>
  </r>
  <r>
    <s v="CUST019"/>
    <s v="Mary Davis"/>
    <s v="West"/>
    <s v="Books"/>
    <n v="743.17"/>
    <n v="9"/>
    <n v="0"/>
    <n v="297.27"/>
    <x v="15"/>
    <n v="297.27"/>
  </r>
  <r>
    <s v="CUST023"/>
    <s v="Mary Davis"/>
    <s v="Central"/>
    <s v="Electronics"/>
    <n v="706.37"/>
    <n v="6"/>
    <n v="0"/>
    <n v="176.59"/>
    <x v="15"/>
    <n v="176.59"/>
  </r>
  <r>
    <s v="CUST012"/>
    <s v="Mary Davis"/>
    <s v="Central"/>
    <s v="Office Supplies"/>
    <n v="925.31"/>
    <n v="8"/>
    <n v="0.1"/>
    <n v="374.75"/>
    <x v="16"/>
    <n v="374.75"/>
  </r>
  <r>
    <s v="CUST010"/>
    <s v="Linda Brown"/>
    <s v="South"/>
    <s v="Electronics"/>
    <n v="1173.1199999999999"/>
    <n v="18"/>
    <n v="0"/>
    <n v="293.27999999999997"/>
    <x v="16"/>
    <n v="293.27999999999997"/>
  </r>
  <r>
    <s v="CUST030"/>
    <s v="John Brown"/>
    <s v="North"/>
    <s v="Furniture"/>
    <n v="675.54"/>
    <n v="17"/>
    <n v="0"/>
    <n v="236.44"/>
    <x v="17"/>
    <n v="236.44"/>
  </r>
  <r>
    <s v="CUST007"/>
    <s v="Robert Anderson"/>
    <s v="Central"/>
    <s v="Books"/>
    <n v="939.09"/>
    <n v="2"/>
    <n v="0.05"/>
    <n v="356.85"/>
    <x v="18"/>
    <n v="356.85"/>
  </r>
  <r>
    <s v="CUST028"/>
    <s v="Linda Taylor"/>
    <s v="East"/>
    <s v="Office Supplies"/>
    <n v="983.34"/>
    <n v="19"/>
    <n v="0.1"/>
    <n v="398.25"/>
    <x v="19"/>
    <n v="398.25"/>
  </r>
  <r>
    <s v="CUST028"/>
    <s v="James Wilson"/>
    <s v="South"/>
    <s v="Electronics"/>
    <n v="801.21"/>
    <n v="3"/>
    <n v="0.2"/>
    <n v="160.24"/>
    <x v="19"/>
    <n v="160.24"/>
  </r>
  <r>
    <s v="CUST025"/>
    <s v="David Brown"/>
    <s v="North"/>
    <s v="Electronics"/>
    <n v="1450.71"/>
    <n v="5"/>
    <n v="0.1"/>
    <n v="326.41000000000003"/>
    <x v="20"/>
    <n v="326.41000000000003"/>
  </r>
  <r>
    <s v="CUST022"/>
    <s v="David Davis"/>
    <s v="Central"/>
    <s v="Books"/>
    <n v="1023.21"/>
    <n v="18"/>
    <n v="0.05"/>
    <n v="388.82"/>
    <x v="21"/>
    <n v="388.82"/>
  </r>
  <r>
    <s v="CUST001"/>
    <s v="Mary Jackson"/>
    <s v="West"/>
    <s v="Furniture"/>
    <n v="853.72"/>
    <n v="5"/>
    <n v="0.15"/>
    <n v="253.98"/>
    <x v="21"/>
    <n v="253.98"/>
  </r>
  <r>
    <s v="CUST021"/>
    <s v="Sarah Anderson"/>
    <s v="South"/>
    <s v="Electronics"/>
    <n v="967.89"/>
    <n v="10"/>
    <n v="0.1"/>
    <n v="217.78"/>
    <x v="22"/>
    <n v="217.78"/>
  </r>
  <r>
    <s v="CUST015"/>
    <s v="Linda Taylor"/>
    <s v="North"/>
    <s v="Office Supplies"/>
    <n v="1200.9000000000001"/>
    <n v="14"/>
    <n v="0.05"/>
    <n v="513.38"/>
    <x v="22"/>
    <n v="513.38"/>
  </r>
  <r>
    <s v="CUST012"/>
    <s v="Michael Anderson"/>
    <s v="West"/>
    <s v="Books"/>
    <n v="472.38"/>
    <n v="12"/>
    <n v="0.2"/>
    <n v="151.16"/>
    <x v="22"/>
    <n v="151.16"/>
  </r>
  <r>
    <s v="CUST019"/>
    <s v="David Brown"/>
    <s v="East"/>
    <s v="Office Supplies"/>
    <n v="840.92"/>
    <n v="9"/>
    <n v="0.05"/>
    <n v="359.49"/>
    <x v="22"/>
    <n v="359.49"/>
  </r>
  <r>
    <s v="CUST028"/>
    <s v="Lisa Davis"/>
    <s v="Central"/>
    <s v="Furniture"/>
    <n v="1410.06"/>
    <n v="11"/>
    <n v="0.05"/>
    <n v="468.84"/>
    <x v="23"/>
    <n v="468.84"/>
  </r>
  <r>
    <s v="CUST008"/>
    <s v="Mary Wilson"/>
    <s v="Central"/>
    <s v="Furniture"/>
    <n v="773.09"/>
    <n v="13"/>
    <n v="0.15"/>
    <n v="229.99"/>
    <x v="23"/>
    <n v="229.99"/>
  </r>
  <r>
    <s v="CUST016"/>
    <s v="Emma Wilson"/>
    <s v="East"/>
    <s v="Books"/>
    <n v="580.42999999999995"/>
    <n v="19"/>
    <n v="0.15"/>
    <n v="197.35"/>
    <x v="24"/>
    <n v="197.35"/>
  </r>
  <r>
    <s v="CUST005"/>
    <s v="David Smith"/>
    <s v="South"/>
    <s v="Books"/>
    <n v="1151.21"/>
    <n v="15"/>
    <n v="0.1"/>
    <n v="414.44"/>
    <x v="25"/>
    <n v="414.44"/>
  </r>
  <r>
    <s v="CUST028"/>
    <s v="James Wilson"/>
    <s v="Central"/>
    <s v="Office Supplies"/>
    <n v="1025.98"/>
    <n v="5"/>
    <n v="0.2"/>
    <n v="369.35"/>
    <x v="26"/>
    <n v="369.35"/>
  </r>
  <r>
    <s v="CUST023"/>
    <s v="David Davis"/>
    <s v="East"/>
    <s v="Office Supplies"/>
    <n v="556.41999999999996"/>
    <n v="11"/>
    <n v="0.15"/>
    <n v="212.83"/>
    <x v="26"/>
    <n v="212.83"/>
  </r>
  <r>
    <s v="CUST021"/>
    <s v="James Wilson"/>
    <s v="Central"/>
    <s v="Books"/>
    <n v="840.85"/>
    <n v="19"/>
    <n v="0.1"/>
    <n v="302.70999999999998"/>
    <x v="27"/>
    <n v="302.70999999999998"/>
  </r>
  <r>
    <s v="CUST026"/>
    <s v="Emma Wilson"/>
    <s v="North"/>
    <s v="Furniture"/>
    <n v="1227.25"/>
    <n v="12"/>
    <n v="0.15"/>
    <n v="365.11"/>
    <x v="27"/>
    <n v="365.11"/>
  </r>
  <r>
    <s v="CUST017"/>
    <s v="Linda Davis"/>
    <s v="Central"/>
    <s v="Electronics"/>
    <n v="856.7"/>
    <n v="2"/>
    <n v="0"/>
    <n v="214.18"/>
    <x v="28"/>
    <n v="214.18"/>
  </r>
  <r>
    <s v="CUST025"/>
    <s v="David Davis"/>
    <s v="Central"/>
    <s v="Office Supplies"/>
    <n v="1225.42"/>
    <n v="8"/>
    <n v="0.15"/>
    <n v="468.72"/>
    <x v="28"/>
    <n v="468.72"/>
  </r>
  <r>
    <s v="CUST011"/>
    <s v="Mary Davis"/>
    <s v="North"/>
    <s v="Office Supplies"/>
    <n v="1001.57"/>
    <n v="12"/>
    <n v="0"/>
    <n v="450.71"/>
    <x v="29"/>
    <n v="450.71"/>
  </r>
  <r>
    <s v="CUST021"/>
    <s v="Michael Anderson"/>
    <s v="East"/>
    <s v="Furniture"/>
    <n v="1186.8499999999999"/>
    <n v="19"/>
    <n v="0.2"/>
    <n v="332.32"/>
    <x v="30"/>
    <n v="332.32"/>
  </r>
  <r>
    <s v="CUST008"/>
    <s v="John Brown"/>
    <s v="South"/>
    <s v="Electronics"/>
    <n v="775.45"/>
    <n v="6"/>
    <n v="0.1"/>
    <n v="174.48"/>
    <x v="31"/>
    <n v="174.48"/>
  </r>
  <r>
    <s v="CUST007"/>
    <s v="Linda Jackson"/>
    <s v="South"/>
    <s v="Electronics"/>
    <n v="1021.47"/>
    <n v="6"/>
    <n v="0.05"/>
    <n v="242.6"/>
    <x v="32"/>
    <n v="242.6"/>
  </r>
  <r>
    <s v="CUST015"/>
    <s v="James Wilson"/>
    <s v="South"/>
    <s v="Clothing"/>
    <n v="1226.6199999999999"/>
    <n v="7"/>
    <n v="0.1"/>
    <n v="551.98"/>
    <x v="33"/>
    <n v="551.98"/>
  </r>
  <r>
    <s v="CUST030"/>
    <s v="Sarah Davis"/>
    <s v="South"/>
    <s v="Furniture"/>
    <n v="1086.93"/>
    <n v="2"/>
    <n v="0"/>
    <n v="380.43"/>
    <x v="34"/>
    <n v="380.43"/>
  </r>
  <r>
    <s v="CUST002"/>
    <s v="Lisa Davis"/>
    <s v="West"/>
    <s v="Books"/>
    <n v="942.9"/>
    <n v="18"/>
    <n v="0.1"/>
    <n v="339.44"/>
    <x v="35"/>
    <n v="339.44"/>
  </r>
  <r>
    <s v="CUST009"/>
    <s v="Emma Davis"/>
    <s v="North"/>
    <s v="Electronics"/>
    <n v="818.8"/>
    <n v="15"/>
    <n v="0.15"/>
    <n v="173.99"/>
    <x v="36"/>
    <n v="173.99"/>
  </r>
  <r>
    <s v="CUST005"/>
    <s v="Robert Anderson"/>
    <s v="South"/>
    <s v="Furniture"/>
    <n v="919.04"/>
    <n v="10"/>
    <n v="0.2"/>
    <n v="257.33"/>
    <x v="36"/>
    <n v="257.33"/>
  </r>
  <r>
    <s v="CUST030"/>
    <s v="Emma Taylor"/>
    <s v="Central"/>
    <s v="Books"/>
    <n v="973.26"/>
    <n v="11"/>
    <n v="0"/>
    <n v="389.3"/>
    <x v="37"/>
    <n v="389.3"/>
  </r>
  <r>
    <s v="CUST029"/>
    <s v="Sarah Davis"/>
    <s v="North"/>
    <s v="Electronics"/>
    <n v="741.61"/>
    <n v="1"/>
    <n v="0.2"/>
    <n v="148.32"/>
    <x v="38"/>
    <n v="148.32"/>
  </r>
  <r>
    <s v="CUST003"/>
    <s v="Emma Davis"/>
    <s v="North"/>
    <s v="Books"/>
    <n v="1248.82"/>
    <n v="2"/>
    <n v="0.1"/>
    <n v="449.58"/>
    <x v="39"/>
    <n v="449.58"/>
  </r>
  <r>
    <s v="CUST012"/>
    <s v="Mary Wilson"/>
    <s v="West"/>
    <s v="Clothing"/>
    <n v="1360.36"/>
    <n v="17"/>
    <n v="0"/>
    <n v="680.18"/>
    <x v="39"/>
    <n v="680.18"/>
  </r>
  <r>
    <s v="CUST021"/>
    <s v="Mary Davis"/>
    <s v="East"/>
    <s v="Books"/>
    <n v="1383.3"/>
    <n v="8"/>
    <n v="0.1"/>
    <n v="497.99"/>
    <x v="40"/>
    <n v="497.99"/>
  </r>
  <r>
    <s v="CUST010"/>
    <s v="David Brown"/>
    <s v="Central"/>
    <s v="Office Supplies"/>
    <n v="488.99"/>
    <n v="9"/>
    <n v="0"/>
    <n v="220.05"/>
    <x v="41"/>
    <n v="220.05"/>
  </r>
  <r>
    <s v="CUST026"/>
    <s v="Mary Davis"/>
    <s v="East"/>
    <s v="Furniture"/>
    <n v="933.71"/>
    <n v="17"/>
    <n v="0.1"/>
    <n v="294.12"/>
    <x v="42"/>
    <n v="294.12"/>
  </r>
  <r>
    <s v="CUST003"/>
    <s v="James Davis"/>
    <s v="West"/>
    <s v="Electronics"/>
    <n v="1005.53"/>
    <n v="17"/>
    <n v="0.2"/>
    <n v="201.11"/>
    <x v="42"/>
    <n v="201.11"/>
  </r>
  <r>
    <s v="CUST029"/>
    <s v="Emma Wilson"/>
    <s v="South"/>
    <s v="Electronics"/>
    <n v="1100.0999999999999"/>
    <n v="5"/>
    <n v="0.05"/>
    <n v="261.27"/>
    <x v="43"/>
    <n v="261.27"/>
  </r>
  <r>
    <s v="CUST003"/>
    <s v="James Wilson"/>
    <s v="North"/>
    <s v="Furniture"/>
    <n v="1034.7"/>
    <n v="15"/>
    <n v="0.15"/>
    <n v="307.82"/>
    <x v="44"/>
    <n v="307.82"/>
  </r>
  <r>
    <s v="CUST002"/>
    <s v="Mary Davis"/>
    <s v="South"/>
    <s v="Books"/>
    <n v="876.44"/>
    <n v="12"/>
    <n v="0.05"/>
    <n v="333.05"/>
    <x v="45"/>
    <n v="333.05"/>
  </r>
  <r>
    <s v="CUST020"/>
    <s v="David Brown"/>
    <s v="West"/>
    <s v="Furniture"/>
    <n v="1371.34"/>
    <n v="5"/>
    <n v="0.05"/>
    <n v="455.97"/>
    <x v="45"/>
    <n v="455.97"/>
  </r>
  <r>
    <s v="CUST021"/>
    <s v="Mary Jackson"/>
    <s v="North"/>
    <s v="Electronics"/>
    <n v="1020.26"/>
    <n v="11"/>
    <n v="0.05"/>
    <n v="242.31"/>
    <x v="46"/>
    <n v="242.31"/>
  </r>
  <r>
    <s v="CUST008"/>
    <s v="James Davis"/>
    <s v="Central"/>
    <s v="Office Supplies"/>
    <n v="804.81"/>
    <n v="1"/>
    <n v="0.05"/>
    <n v="344.06"/>
    <x v="47"/>
    <n v="344.06"/>
  </r>
  <r>
    <s v="CUST030"/>
    <s v="David Brown"/>
    <s v="Central"/>
    <s v="Electronics"/>
    <n v="608.66"/>
    <n v="1"/>
    <n v="0.05"/>
    <n v="144.56"/>
    <x v="48"/>
    <n v="144.56"/>
  </r>
  <r>
    <s v="CUST020"/>
    <s v="Linda Moore"/>
    <s v="South"/>
    <s v="Office Supplies"/>
    <n v="981.2"/>
    <n v="19"/>
    <n v="0"/>
    <n v="441.54"/>
    <x v="49"/>
    <n v="441.54"/>
  </r>
  <r>
    <s v="CUST024"/>
    <s v="David Brown"/>
    <s v="East"/>
    <s v="Electronics"/>
    <n v="539.77"/>
    <n v="10"/>
    <n v="0.15"/>
    <n v="114.7"/>
    <x v="50"/>
    <n v="114.7"/>
  </r>
  <r>
    <s v="CUST012"/>
    <s v="David Anderson"/>
    <s v="South"/>
    <s v="Books"/>
    <n v="804.45"/>
    <n v="5"/>
    <n v="0.2"/>
    <n v="257.42"/>
    <x v="50"/>
    <n v="257.42"/>
  </r>
  <r>
    <s v="CUST024"/>
    <s v="Emma Davis"/>
    <s v="West"/>
    <s v="Electronics"/>
    <n v="1526.6"/>
    <n v="13"/>
    <n v="0.2"/>
    <n v="305.32"/>
    <x v="51"/>
    <n v="305.32"/>
  </r>
  <r>
    <s v="CUST012"/>
    <s v="Linda Wilson"/>
    <s v="West"/>
    <s v="Electronics"/>
    <n v="1215.26"/>
    <n v="5"/>
    <n v="0.15"/>
    <n v="258.24"/>
    <x v="52"/>
    <n v="258.24"/>
  </r>
  <r>
    <s v="CUST005"/>
    <s v="Linda Taylor"/>
    <s v="Central"/>
    <s v="Furniture"/>
    <n v="1261.3399999999999"/>
    <n v="3"/>
    <n v="0"/>
    <n v="441.47"/>
    <x v="53"/>
    <n v="441.47"/>
  </r>
  <r>
    <s v="CUST004"/>
    <s v="Lisa Thomas"/>
    <s v="North"/>
    <s v="Furniture"/>
    <n v="518.07000000000005"/>
    <n v="7"/>
    <n v="0.05"/>
    <n v="172.26"/>
    <x v="54"/>
    <n v="172.26"/>
  </r>
  <r>
    <s v="CUST026"/>
    <s v="Linda Wilson"/>
    <s v="West"/>
    <s v="Office Supplies"/>
    <n v="1111.3399999999999"/>
    <n v="1"/>
    <n v="0"/>
    <n v="500.1"/>
    <x v="55"/>
    <n v="500.1"/>
  </r>
  <r>
    <s v="CUST030"/>
    <s v="Mary Davis"/>
    <s v="East"/>
    <s v="Clothing"/>
    <n v="1291.47"/>
    <n v="18"/>
    <n v="0.1"/>
    <n v="581.16"/>
    <x v="56"/>
    <n v="581.16"/>
  </r>
  <r>
    <s v="CUST007"/>
    <s v="David Brown"/>
    <s v="North"/>
    <s v="Books"/>
    <n v="679.71"/>
    <n v="19"/>
    <n v="0"/>
    <n v="271.88"/>
    <x v="57"/>
    <n v="271.88"/>
  </r>
  <r>
    <s v="CUST020"/>
    <s v="Linda Jackson"/>
    <s v="East"/>
    <s v="Furniture"/>
    <n v="1143.69"/>
    <n v="17"/>
    <n v="0"/>
    <n v="400.29"/>
    <x v="57"/>
    <n v="400.29"/>
  </r>
  <r>
    <s v="CUST028"/>
    <s v="Linda Brown"/>
    <s v="Central"/>
    <s v="Electronics"/>
    <n v="790.08"/>
    <n v="7"/>
    <n v="0.1"/>
    <n v="177.77"/>
    <x v="58"/>
    <n v="177.77"/>
  </r>
  <r>
    <s v="CUST005"/>
    <s v="Lisa Davis"/>
    <s v="Central"/>
    <s v="Books"/>
    <n v="1070.68"/>
    <n v="7"/>
    <n v="0.05"/>
    <n v="406.86"/>
    <x v="58"/>
    <n v="406.86"/>
  </r>
  <r>
    <s v="CUST015"/>
    <s v="David Thomas"/>
    <s v="West"/>
    <s v="Clothing"/>
    <n v="1168.8900000000001"/>
    <n v="4"/>
    <n v="0.1"/>
    <n v="526"/>
    <x v="59"/>
    <n v="526"/>
  </r>
  <r>
    <s v="CUST003"/>
    <s v="James Davis"/>
    <s v="South"/>
    <s v="Electronics"/>
    <n v="1335.87"/>
    <n v="17"/>
    <n v="0"/>
    <n v="333.97"/>
    <x v="59"/>
    <n v="333.97"/>
  </r>
  <r>
    <s v="CUST023"/>
    <s v="David Brown"/>
    <s v="East"/>
    <s v="Furniture"/>
    <n v="873.7"/>
    <n v="9"/>
    <n v="0"/>
    <n v="305.8"/>
    <x v="60"/>
    <n v="305.8"/>
  </r>
  <r>
    <s v="CUST004"/>
    <s v="Sarah Davis"/>
    <s v="West"/>
    <s v="Office Supplies"/>
    <n v="1443.98"/>
    <n v="19"/>
    <n v="0"/>
    <n v="649.79"/>
    <x v="61"/>
    <n v="649.79"/>
  </r>
  <r>
    <s v="CUST023"/>
    <s v="James Wilson"/>
    <s v="East"/>
    <s v="Office Supplies"/>
    <n v="1154.33"/>
    <n v="11"/>
    <n v="0.15"/>
    <n v="441.53"/>
    <x v="62"/>
    <n v="441.53"/>
  </r>
  <r>
    <s v="CUST022"/>
    <s v="Linda Brown"/>
    <s v="South"/>
    <s v="Books"/>
    <n v="1264.49"/>
    <n v="16"/>
    <n v="0.05"/>
    <n v="480.51"/>
    <x v="62"/>
    <n v="480.51"/>
  </r>
  <r>
    <s v="CUST007"/>
    <s v="Emma Taylor"/>
    <s v="West"/>
    <s v="Furniture"/>
    <n v="1101.55"/>
    <n v="4"/>
    <n v="0.1"/>
    <n v="346.99"/>
    <x v="63"/>
    <n v="346.99"/>
  </r>
  <r>
    <s v="CUST013"/>
    <s v="Robert Anderson"/>
    <s v="South"/>
    <s v="Furniture"/>
    <n v="727.73"/>
    <n v="1"/>
    <n v="0.1"/>
    <n v="229.23"/>
    <x v="64"/>
    <n v="229.23"/>
  </r>
  <r>
    <s v="CUST027"/>
    <s v="Emma Davis"/>
    <s v="East"/>
    <s v="Office Supplies"/>
    <n v="875.41"/>
    <n v="13"/>
    <n v="0.15"/>
    <n v="334.84"/>
    <x v="64"/>
    <n v="334.84"/>
  </r>
  <r>
    <s v="CUST003"/>
    <s v="James Wilson"/>
    <s v="West"/>
    <s v="Electronics"/>
    <n v="1158.94"/>
    <n v="19"/>
    <n v="0.2"/>
    <n v="231.79"/>
    <x v="65"/>
    <n v="231.79"/>
  </r>
  <r>
    <s v="CUST018"/>
    <s v="Mary Jackson"/>
    <s v="South"/>
    <s v="Books"/>
    <n v="966.3"/>
    <n v="2"/>
    <n v="0.15"/>
    <n v="328.54"/>
    <x v="66"/>
    <n v="328.54"/>
  </r>
  <r>
    <s v="CUST020"/>
    <s v="James Taylor"/>
    <s v="South"/>
    <s v="Books"/>
    <n v="917.48"/>
    <n v="6"/>
    <n v="0"/>
    <n v="366.99"/>
    <x v="67"/>
    <n v="366.99"/>
  </r>
  <r>
    <s v="CUST029"/>
    <s v="Emma Wilson"/>
    <s v="West"/>
    <s v="Furniture"/>
    <n v="1172.97"/>
    <n v="7"/>
    <n v="0.15"/>
    <n v="348.96"/>
    <x v="68"/>
    <n v="348.96"/>
  </r>
  <r>
    <s v="CUST021"/>
    <s v="James Wilson"/>
    <s v="North"/>
    <s v="Clothing"/>
    <n v="1205.82"/>
    <n v="11"/>
    <n v="0.1"/>
    <n v="542.62"/>
    <x v="68"/>
    <n v="542.62"/>
  </r>
  <r>
    <s v="CUST017"/>
    <s v="Sarah Davis"/>
    <s v="West"/>
    <s v="Office Supplies"/>
    <n v="826.93"/>
    <n v="10"/>
    <n v="0.2"/>
    <n v="297.69"/>
    <x v="69"/>
    <n v="297.69"/>
  </r>
  <r>
    <s v="CUST003"/>
    <s v="James Wilson"/>
    <s v="Central"/>
    <s v="Clothing"/>
    <n v="902.19"/>
    <n v="12"/>
    <n v="0"/>
    <n v="451.1"/>
    <x v="69"/>
    <n v="451.1"/>
  </r>
  <r>
    <s v="CUST027"/>
    <s v="Emma Davis"/>
    <s v="North"/>
    <s v="Books"/>
    <n v="585.97"/>
    <n v="17"/>
    <n v="0.1"/>
    <n v="210.95"/>
    <x v="70"/>
    <n v="210.95"/>
  </r>
  <r>
    <s v="CUST016"/>
    <s v="Michael Anderson"/>
    <s v="North"/>
    <s v="Clothing"/>
    <n v="990.19"/>
    <n v="8"/>
    <n v="0.1"/>
    <n v="445.59"/>
    <x v="70"/>
    <n v="445.59"/>
  </r>
  <r>
    <s v="CUST008"/>
    <s v="David Davis"/>
    <s v="Central"/>
    <s v="Electronics"/>
    <n v="1014.09"/>
    <n v="13"/>
    <n v="0.2"/>
    <n v="202.82"/>
    <x v="71"/>
    <n v="202.82"/>
  </r>
  <r>
    <s v="CUST012"/>
    <s v="Lisa Davis"/>
    <s v="North"/>
    <s v="Electronics"/>
    <n v="925.29"/>
    <n v="17"/>
    <n v="0"/>
    <n v="231.32"/>
    <x v="72"/>
    <n v="231.32"/>
  </r>
  <r>
    <s v="CUST025"/>
    <s v="Mary Jackson"/>
    <s v="East"/>
    <s v="Furniture"/>
    <n v="1286.54"/>
    <n v="8"/>
    <n v="0"/>
    <n v="450.29"/>
    <x v="73"/>
    <n v="450.29"/>
  </r>
  <r>
    <s v="CUST014"/>
    <s v="Sarah Davis"/>
    <s v="South"/>
    <s v="Books"/>
    <n v="961.62"/>
    <n v="8"/>
    <n v="0.2"/>
    <n v="307.72000000000003"/>
    <x v="74"/>
    <n v="307.72000000000003"/>
  </r>
  <r>
    <s v="CUST008"/>
    <s v="James Wilson"/>
    <s v="East"/>
    <s v="Books"/>
    <n v="1081.1400000000001"/>
    <n v="19"/>
    <n v="0.15"/>
    <n v="367.59"/>
    <x v="74"/>
    <n v="367.59"/>
  </r>
  <r>
    <s v="CUST015"/>
    <s v="James Wilson"/>
    <s v="West"/>
    <s v="Clothing"/>
    <n v="1923.66"/>
    <n v="9"/>
    <n v="0.2"/>
    <n v="769.46"/>
    <x v="75"/>
    <n v="769.46"/>
  </r>
  <r>
    <s v="CUST025"/>
    <s v="Emma Taylor"/>
    <s v="Central"/>
    <s v="Clothing"/>
    <n v="728.71"/>
    <n v="14"/>
    <n v="0.1"/>
    <n v="327.92"/>
    <x v="76"/>
    <n v="327.92"/>
  </r>
  <r>
    <s v="CUST019"/>
    <s v="Linda Jackson"/>
    <s v="Central"/>
    <s v="Clothing"/>
    <n v="1301.8900000000001"/>
    <n v="7"/>
    <n v="0.15"/>
    <n v="553.29999999999995"/>
    <x v="76"/>
    <n v="553.29999999999995"/>
  </r>
  <r>
    <s v="CUST024"/>
    <s v="Emma Taylor"/>
    <s v="East"/>
    <s v="Books"/>
    <n v="980.18"/>
    <n v="16"/>
    <n v="0.1"/>
    <n v="352.86"/>
    <x v="77"/>
    <n v="352.86"/>
  </r>
  <r>
    <s v="CUST027"/>
    <s v="James Wilson"/>
    <s v="West"/>
    <s v="Clothing"/>
    <n v="697.57"/>
    <n v="17"/>
    <n v="0.1"/>
    <n v="313.91000000000003"/>
    <x v="78"/>
    <n v="313.91000000000003"/>
  </r>
  <r>
    <s v="CUST006"/>
    <s v="David Anderson"/>
    <s v="West"/>
    <s v="Furniture"/>
    <n v="1193.6099999999999"/>
    <n v="1"/>
    <n v="0.15"/>
    <n v="355.1"/>
    <x v="78"/>
    <n v="355.1"/>
  </r>
  <r>
    <s v="CUST009"/>
    <s v="Emma Davis"/>
    <s v="South"/>
    <s v="Electronics"/>
    <n v="771.02"/>
    <n v="1"/>
    <n v="0"/>
    <n v="192.76"/>
    <x v="79"/>
    <n v="192.76"/>
  </r>
  <r>
    <s v="CUST003"/>
    <s v="Linda Moore"/>
    <s v="North"/>
    <s v="Clothing"/>
    <n v="661.09"/>
    <n v="1"/>
    <n v="0.2"/>
    <n v="264.44"/>
    <x v="80"/>
    <n v="264.44"/>
  </r>
  <r>
    <s v="CUST012"/>
    <s v="David Brown"/>
    <s v="West"/>
    <s v="Electronics"/>
    <n v="688.83"/>
    <n v="15"/>
    <n v="0"/>
    <n v="172.21"/>
    <x v="81"/>
    <n v="172.21"/>
  </r>
  <r>
    <s v="CUST013"/>
    <s v="Linda Wilson"/>
    <s v="Central"/>
    <s v="Books"/>
    <n v="1249.0999999999999"/>
    <n v="4"/>
    <n v="0.05"/>
    <n v="474.66"/>
    <x v="82"/>
    <n v="474.66"/>
  </r>
  <r>
    <s v="CUST008"/>
    <s v="James Wilson"/>
    <s v="East"/>
    <s v="Office Supplies"/>
    <n v="1014.22"/>
    <n v="14"/>
    <n v="0.05"/>
    <n v="433.58"/>
    <x v="83"/>
    <n v="433.58"/>
  </r>
  <r>
    <s v="CUST025"/>
    <s v="Lisa Davis"/>
    <s v="East"/>
    <s v="Books"/>
    <n v="1010.58"/>
    <n v="2"/>
    <n v="0.15"/>
    <n v="343.6"/>
    <x v="84"/>
    <n v="343.6"/>
  </r>
  <r>
    <s v="CUST026"/>
    <s v="Mary Wilson"/>
    <s v="North"/>
    <s v="Furniture"/>
    <n v="957.29"/>
    <n v="4"/>
    <n v="0.05"/>
    <n v="318.3"/>
    <x v="84"/>
    <n v="318.3"/>
  </r>
  <r>
    <s v="CUST001"/>
    <s v="Lisa Thomas"/>
    <s v="North"/>
    <s v="Furniture"/>
    <n v="1077.92"/>
    <n v="3"/>
    <n v="0.05"/>
    <n v="358.41"/>
    <x v="85"/>
    <n v="358.41"/>
  </r>
  <r>
    <s v="CUST028"/>
    <s v="Linda Brown"/>
    <s v="South"/>
    <s v="Clothing"/>
    <n v="1163.01"/>
    <n v="5"/>
    <n v="0"/>
    <n v="581.5"/>
    <x v="86"/>
    <n v="581.5"/>
  </r>
  <r>
    <s v="CUST025"/>
    <s v="Lisa Thomas"/>
    <s v="East"/>
    <s v="Office Supplies"/>
    <n v="1014.56"/>
    <n v="10"/>
    <n v="0.1"/>
    <n v="410.9"/>
    <x v="87"/>
    <n v="410.9"/>
  </r>
  <r>
    <s v="CUST019"/>
    <s v="James Taylor"/>
    <s v="South"/>
    <s v="Electronics"/>
    <n v="718.04"/>
    <n v="14"/>
    <n v="0"/>
    <n v="179.51"/>
    <x v="88"/>
    <n v="179.51"/>
  </r>
  <r>
    <s v="CUST004"/>
    <s v="James Taylor"/>
    <s v="Central"/>
    <s v="Clothing"/>
    <n v="1277.8499999999999"/>
    <n v="18"/>
    <n v="0.2"/>
    <n v="511.14"/>
    <x v="88"/>
    <n v="511.14"/>
  </r>
  <r>
    <s v="CUST024"/>
    <s v="James Wilson"/>
    <s v="North"/>
    <s v="Electronics"/>
    <n v="706.73"/>
    <n v="1"/>
    <n v="0.15"/>
    <n v="150.18"/>
    <x v="88"/>
    <n v="150.18"/>
  </r>
  <r>
    <s v="CUST002"/>
    <s v="Linda Brown"/>
    <s v="East"/>
    <s v="Electronics"/>
    <n v="1410.59"/>
    <n v="15"/>
    <n v="0"/>
    <n v="352.65"/>
    <x v="89"/>
    <n v="352.65"/>
  </r>
  <r>
    <s v="CUST009"/>
    <s v="Emma Wilson"/>
    <s v="South"/>
    <s v="Furniture"/>
    <n v="1350.33"/>
    <n v="10"/>
    <n v="0"/>
    <n v="472.62"/>
    <x v="89"/>
    <n v="472.62"/>
  </r>
  <r>
    <s v="CUST029"/>
    <s v="Lisa Thomas"/>
    <s v="East"/>
    <s v="Electronics"/>
    <n v="919.18"/>
    <n v="4"/>
    <n v="0.15"/>
    <n v="195.33"/>
    <x v="89"/>
    <n v="195.33"/>
  </r>
  <r>
    <s v="CUST027"/>
    <s v="James Wilson"/>
    <s v="West"/>
    <s v="Electronics"/>
    <n v="258.51"/>
    <n v="19"/>
    <n v="0"/>
    <n v="64.63"/>
    <x v="90"/>
    <n v="64.63"/>
  </r>
  <r>
    <s v="CUST011"/>
    <s v="Emma Wilson"/>
    <s v="East"/>
    <s v="Books"/>
    <n v="1213.48"/>
    <n v="5"/>
    <n v="0.05"/>
    <n v="461.12"/>
    <x v="90"/>
    <n v="461.12"/>
  </r>
  <r>
    <s v="CUST021"/>
    <s v="Emma Davis"/>
    <s v="Central"/>
    <s v="Books"/>
    <n v="1150.28"/>
    <n v="8"/>
    <n v="0.05"/>
    <n v="437.11"/>
    <x v="91"/>
    <n v="437.11"/>
  </r>
  <r>
    <s v="CUST014"/>
    <s v="David Anderson"/>
    <s v="South"/>
    <s v="Furniture"/>
    <n v="853.86"/>
    <n v="8"/>
    <n v="0.1"/>
    <n v="268.97000000000003"/>
    <x v="91"/>
    <n v="268.97000000000003"/>
  </r>
  <r>
    <s v="CUST018"/>
    <s v="Lisa Thomas"/>
    <s v="South"/>
    <s v="Electronics"/>
    <n v="1061.04"/>
    <n v="1"/>
    <n v="0"/>
    <n v="265.26"/>
    <x v="92"/>
    <n v="265.26"/>
  </r>
  <r>
    <s v="CUST001"/>
    <s v="Sarah Anderson"/>
    <s v="West"/>
    <s v="Electronics"/>
    <n v="894.55"/>
    <n v="19"/>
    <n v="0.2"/>
    <n v="178.91"/>
    <x v="93"/>
    <n v="178.91"/>
  </r>
  <r>
    <s v="CUST007"/>
    <s v="Emma Davis"/>
    <s v="North"/>
    <s v="Office Supplies"/>
    <n v="833.91"/>
    <n v="3"/>
    <n v="0.05"/>
    <n v="356.5"/>
    <x v="94"/>
    <n v="356.5"/>
  </r>
  <r>
    <s v="CUST015"/>
    <s v="David Anderson"/>
    <s v="West"/>
    <s v="Furniture"/>
    <n v="820.19"/>
    <n v="4"/>
    <n v="0.2"/>
    <n v="229.65"/>
    <x v="95"/>
    <n v="229.65"/>
  </r>
  <r>
    <s v="CUST015"/>
    <s v="Emma Davis"/>
    <s v="Central"/>
    <s v="Electronics"/>
    <n v="511.74"/>
    <n v="8"/>
    <n v="0.05"/>
    <n v="121.54"/>
    <x v="96"/>
    <n v="121.54"/>
  </r>
  <r>
    <s v="CUST002"/>
    <s v="Emma Wilson"/>
    <s v="South"/>
    <s v="Furniture"/>
    <n v="806.03"/>
    <n v="19"/>
    <n v="0.05"/>
    <n v="268"/>
    <x v="97"/>
    <n v="268"/>
  </r>
  <r>
    <s v="CUST001"/>
    <s v="Michael Anderson"/>
    <s v="Central"/>
    <s v="Furniture"/>
    <n v="1432.47"/>
    <n v="16"/>
    <n v="0.15"/>
    <n v="426.16"/>
    <x v="98"/>
    <n v="426.16"/>
  </r>
  <r>
    <s v="CUST027"/>
    <s v="Linda Wilson"/>
    <s v="Central"/>
    <s v="Electronics"/>
    <n v="1488.58"/>
    <n v="10"/>
    <n v="0.15"/>
    <n v="316.32"/>
    <x v="98"/>
    <n v="316.32"/>
  </r>
  <r>
    <s v="CUST026"/>
    <s v="Emma Taylor"/>
    <s v="East"/>
    <s v="Books"/>
    <n v="1231.26"/>
    <n v="9"/>
    <n v="0"/>
    <n v="492.5"/>
    <x v="99"/>
    <n v="492.5"/>
  </r>
  <r>
    <s v="CUST026"/>
    <s v="Sarah Anderson"/>
    <s v="West"/>
    <s v="Electronics"/>
    <n v="1161.67"/>
    <n v="19"/>
    <n v="0.2"/>
    <n v="232.33"/>
    <x v="100"/>
    <n v="232.33"/>
  </r>
  <r>
    <s v="CUST022"/>
    <s v="Lisa Thomas"/>
    <s v="Central"/>
    <s v="Office Supplies"/>
    <n v="388.23"/>
    <n v="16"/>
    <n v="0.05"/>
    <n v="165.97"/>
    <x v="101"/>
    <n v="165.97"/>
  </r>
  <r>
    <s v="CUST004"/>
    <s v="Mary Davis"/>
    <s v="North"/>
    <s v="Clothing"/>
    <n v="1589.42"/>
    <n v="6"/>
    <n v="0.15"/>
    <n v="675.5"/>
    <x v="102"/>
    <n v="675.5"/>
  </r>
  <r>
    <s v="CUST001"/>
    <s v="David Anderson"/>
    <s v="North"/>
    <s v="Clothing"/>
    <n v="336.66"/>
    <n v="13"/>
    <n v="0.2"/>
    <n v="134.66"/>
    <x v="102"/>
    <n v="134.66"/>
  </r>
  <r>
    <s v="CUST022"/>
    <s v="James Wilson"/>
    <s v="West"/>
    <s v="Books"/>
    <n v="1353.79"/>
    <n v="14"/>
    <n v="0.1"/>
    <n v="487.36"/>
    <x v="103"/>
    <n v="487.36"/>
  </r>
  <r>
    <s v="CUST011"/>
    <s v="Linda Moore"/>
    <s v="Central"/>
    <s v="Clothing"/>
    <n v="662.61"/>
    <n v="11"/>
    <n v="0.05"/>
    <n v="314.74"/>
    <x v="104"/>
    <n v="314.74"/>
  </r>
  <r>
    <s v="CUST028"/>
    <s v="Lisa Davis"/>
    <s v="North"/>
    <s v="Office Supplies"/>
    <n v="309.42"/>
    <n v="1"/>
    <n v="0.2"/>
    <n v="111.39"/>
    <x v="104"/>
    <n v="111.39"/>
  </r>
  <r>
    <s v="CUST011"/>
    <s v="Linda Wilson"/>
    <s v="North"/>
    <s v="Books"/>
    <n v="884.63"/>
    <n v="18"/>
    <n v="0.1"/>
    <n v="318.47000000000003"/>
    <x v="105"/>
    <n v="318.47000000000003"/>
  </r>
  <r>
    <s v="CUST028"/>
    <s v="James Wilson"/>
    <s v="Central"/>
    <s v="Office Supplies"/>
    <n v="745.05"/>
    <n v="10"/>
    <n v="0.1"/>
    <n v="301.75"/>
    <x v="106"/>
    <n v="301.75"/>
  </r>
  <r>
    <s v="CUST016"/>
    <s v="James Taylor"/>
    <s v="South"/>
    <s v="Clothing"/>
    <n v="870.23"/>
    <n v="5"/>
    <n v="0.05"/>
    <n v="413.36"/>
    <x v="106"/>
    <n v="413.36"/>
  </r>
  <r>
    <s v="CUST010"/>
    <s v="Linda Wilson"/>
    <s v="West"/>
    <s v="Furniture"/>
    <n v="862.19"/>
    <n v="18"/>
    <n v="0.05"/>
    <n v="286.68"/>
    <x v="107"/>
    <n v="286.68"/>
  </r>
  <r>
    <s v="CUST013"/>
    <s v="Mary Wilson"/>
    <s v="North"/>
    <s v="Clothing"/>
    <n v="1171.18"/>
    <n v="19"/>
    <n v="0.05"/>
    <n v="556.30999999999995"/>
    <x v="108"/>
    <n v="556.30999999999995"/>
  </r>
  <r>
    <s v="CUST015"/>
    <s v="Robert Anderson"/>
    <s v="South"/>
    <s v="Furniture"/>
    <n v="1054.56"/>
    <n v="11"/>
    <n v="0.1"/>
    <n v="332.19"/>
    <x v="109"/>
    <n v="332.19"/>
  </r>
  <r>
    <s v="CUST015"/>
    <s v="James Wilson"/>
    <s v="North"/>
    <s v="Electronics"/>
    <n v="1681.21"/>
    <n v="5"/>
    <n v="0.2"/>
    <n v="336.24"/>
    <x v="110"/>
    <n v="336.24"/>
  </r>
  <r>
    <s v="CUST015"/>
    <s v="David Thomas"/>
    <s v="West"/>
    <s v="Clothing"/>
    <n v="379.77"/>
    <n v="9"/>
    <n v="0.05"/>
    <n v="180.39"/>
    <x v="111"/>
    <n v="180.39"/>
  </r>
  <r>
    <s v="CUST008"/>
    <s v="Lisa Thomas"/>
    <s v="Central"/>
    <s v="Clothing"/>
    <n v="1076.33"/>
    <n v="2"/>
    <n v="0.1"/>
    <n v="484.35"/>
    <x v="112"/>
    <n v="484.35"/>
  </r>
  <r>
    <s v="CUST008"/>
    <s v="Mary Davis"/>
    <s v="Central"/>
    <s v="Office Supplies"/>
    <n v="1250.71"/>
    <n v="7"/>
    <n v="0"/>
    <n v="562.82000000000005"/>
    <x v="112"/>
    <n v="562.82000000000005"/>
  </r>
  <r>
    <s v="CUST023"/>
    <s v="James Taylor"/>
    <s v="South"/>
    <s v="Clothing"/>
    <n v="1118.3399999999999"/>
    <n v="6"/>
    <n v="0.2"/>
    <n v="447.34"/>
    <x v="112"/>
    <n v="447.34"/>
  </r>
  <r>
    <s v="CUST024"/>
    <s v="Linda Taylor"/>
    <s v="North"/>
    <s v="Clothing"/>
    <n v="1622.62"/>
    <n v="12"/>
    <n v="0.2"/>
    <n v="649.04999999999995"/>
    <x v="113"/>
    <n v="649.04999999999995"/>
  </r>
  <r>
    <s v="CUST018"/>
    <s v="Lisa Davis"/>
    <s v="North"/>
    <s v="Books"/>
    <n v="640.64"/>
    <n v="11"/>
    <n v="0.2"/>
    <n v="205"/>
    <x v="114"/>
    <n v="205"/>
  </r>
  <r>
    <s v="CUST030"/>
    <s v="Sarah Anderson"/>
    <s v="West"/>
    <s v="Clothing"/>
    <n v="585.16"/>
    <n v="17"/>
    <n v="0.1"/>
    <n v="263.32"/>
    <x v="115"/>
    <n v="263.32"/>
  </r>
  <r>
    <s v="CUST030"/>
    <s v="Mary Davis"/>
    <s v="East"/>
    <s v="Clothing"/>
    <n v="1109.98"/>
    <n v="5"/>
    <n v="0.2"/>
    <n v="443.99"/>
    <x v="116"/>
    <n v="443.99"/>
  </r>
  <r>
    <s v="CUST015"/>
    <s v="Lisa Thomas"/>
    <s v="East"/>
    <s v="Books"/>
    <n v="1098.08"/>
    <n v="9"/>
    <n v="0.1"/>
    <n v="395.31"/>
    <x v="117"/>
    <n v="395.31"/>
  </r>
  <r>
    <s v="CUST002"/>
    <s v="Lisa Davis"/>
    <s v="West"/>
    <s v="Office Supplies"/>
    <n v="827.25"/>
    <n v="7"/>
    <n v="0.1"/>
    <n v="335.04"/>
    <x v="118"/>
    <n v="335.04"/>
  </r>
  <r>
    <s v="CUST024"/>
    <s v="Linda Wilson"/>
    <s v="Central"/>
    <s v="Clothing"/>
    <n v="741.88"/>
    <n v="16"/>
    <n v="0.1"/>
    <n v="333.85"/>
    <x v="119"/>
    <n v="333.85"/>
  </r>
  <r>
    <s v="CUST004"/>
    <s v="James Davis"/>
    <s v="East"/>
    <s v="Office Supplies"/>
    <n v="1311.26"/>
    <n v="6"/>
    <n v="0.1"/>
    <n v="531.05999999999995"/>
    <x v="120"/>
    <n v="531.05999999999995"/>
  </r>
  <r>
    <s v="CUST004"/>
    <s v="Mary Davis"/>
    <s v="South"/>
    <s v="Office Supplies"/>
    <n v="573.32000000000005"/>
    <n v="19"/>
    <n v="0.1"/>
    <n v="232.19"/>
    <x v="121"/>
    <n v="232.19"/>
  </r>
  <r>
    <s v="CUST028"/>
    <s v="James Wilson"/>
    <s v="West"/>
    <s v="Electronics"/>
    <n v="1115.22"/>
    <n v="14"/>
    <n v="0.2"/>
    <n v="223.04"/>
    <x v="122"/>
    <n v="223.04"/>
  </r>
  <r>
    <s v="CUST012"/>
    <s v="Lisa Thomas"/>
    <s v="North"/>
    <s v="Clothing"/>
    <n v="845.84"/>
    <n v="4"/>
    <n v="0"/>
    <n v="422.92"/>
    <x v="123"/>
    <n v="422.92"/>
  </r>
  <r>
    <s v="CUST026"/>
    <s v="David Brown"/>
    <s v="West"/>
    <s v="Electronics"/>
    <n v="1029.8"/>
    <n v="3"/>
    <n v="0"/>
    <n v="257.45"/>
    <x v="124"/>
    <n v="257.45"/>
  </r>
  <r>
    <s v="CUST009"/>
    <s v="Mary Davis"/>
    <s v="North"/>
    <s v="Books"/>
    <n v="1189.83"/>
    <n v="2"/>
    <n v="0.2"/>
    <n v="380.75"/>
    <x v="125"/>
    <n v="380.75"/>
  </r>
  <r>
    <s v="CUST003"/>
    <s v="Sarah Anderson"/>
    <s v="South"/>
    <s v="Books"/>
    <n v="704.28"/>
    <n v="15"/>
    <n v="0.2"/>
    <n v="225.37"/>
    <x v="126"/>
    <n v="225.37"/>
  </r>
  <r>
    <s v="CUST002"/>
    <s v="Mary Jackson"/>
    <s v="Central"/>
    <s v="Office Supplies"/>
    <n v="1618.22"/>
    <n v="12"/>
    <n v="0.2"/>
    <n v="582.55999999999995"/>
    <x v="126"/>
    <n v="582.55999999999995"/>
  </r>
  <r>
    <s v="CUST013"/>
    <s v="Linda Taylor"/>
    <s v="Central"/>
    <s v="Books"/>
    <n v="1014.43"/>
    <n v="2"/>
    <n v="0.15"/>
    <n v="344.91"/>
    <x v="127"/>
    <n v="344.91"/>
  </r>
  <r>
    <s v="CUST018"/>
    <s v="Mary Davis"/>
    <s v="Central"/>
    <s v="Clothing"/>
    <n v="826.97"/>
    <n v="18"/>
    <n v="0.2"/>
    <n v="330.79"/>
    <x v="128"/>
    <n v="330.79"/>
  </r>
  <r>
    <s v="CUST017"/>
    <s v="Mary Davis"/>
    <s v="Central"/>
    <s v="Clothing"/>
    <n v="1022.23"/>
    <n v="8"/>
    <n v="0.1"/>
    <n v="460"/>
    <x v="129"/>
    <n v="460"/>
  </r>
  <r>
    <s v="CUST004"/>
    <s v="Linda Wilson"/>
    <s v="East"/>
    <s v="Books"/>
    <n v="1099.69"/>
    <n v="6"/>
    <n v="0"/>
    <n v="439.88"/>
    <x v="130"/>
    <n v="439.88"/>
  </r>
  <r>
    <s v="CUST028"/>
    <s v="Sarah Davis"/>
    <s v="North"/>
    <s v="Books"/>
    <n v="710.52"/>
    <n v="8"/>
    <n v="0.1"/>
    <n v="255.79"/>
    <x v="131"/>
    <n v="255.79"/>
  </r>
  <r>
    <s v="CUST028"/>
    <s v="Mary Wilson"/>
    <s v="North"/>
    <s v="Books"/>
    <n v="499.18"/>
    <n v="15"/>
    <n v="0.2"/>
    <n v="159.74"/>
    <x v="132"/>
    <n v="159.74"/>
  </r>
  <r>
    <s v="CUST014"/>
    <s v="Emma Davis"/>
    <s v="South"/>
    <s v="Books"/>
    <n v="1064.19"/>
    <n v="18"/>
    <n v="0.05"/>
    <n v="404.39"/>
    <x v="133"/>
    <n v="404.39"/>
  </r>
  <r>
    <s v="CUST003"/>
    <s v="Emma Davis"/>
    <s v="East"/>
    <s v="Office Supplies"/>
    <n v="438.76"/>
    <n v="18"/>
    <n v="0.05"/>
    <n v="187.57"/>
    <x v="134"/>
    <n v="187.57"/>
  </r>
  <r>
    <s v="CUST029"/>
    <s v="David Brown"/>
    <s v="West"/>
    <s v="Clothing"/>
    <n v="864.98"/>
    <n v="2"/>
    <n v="0.05"/>
    <n v="410.87"/>
    <x v="135"/>
    <n v="410.87"/>
  </r>
  <r>
    <s v="CUST021"/>
    <s v="David Brown"/>
    <s v="West"/>
    <s v="Furniture"/>
    <n v="984.93"/>
    <n v="14"/>
    <n v="0.2"/>
    <n v="275.77999999999997"/>
    <x v="136"/>
    <n v="275.77999999999997"/>
  </r>
  <r>
    <s v="CUST007"/>
    <s v="David Brown"/>
    <s v="West"/>
    <s v="Clothing"/>
    <n v="1493.49"/>
    <n v="18"/>
    <n v="0"/>
    <n v="746.74"/>
    <x v="137"/>
    <n v="746.74"/>
  </r>
  <r>
    <s v="CUST009"/>
    <s v="Linda Taylor"/>
    <s v="South"/>
    <s v="Clothing"/>
    <n v="689.43"/>
    <n v="9"/>
    <n v="0.1"/>
    <n v="310.24"/>
    <x v="138"/>
    <n v="310.24"/>
  </r>
  <r>
    <s v="CUST023"/>
    <s v="Mary Wilson"/>
    <s v="South"/>
    <s v="Clothing"/>
    <n v="682.24"/>
    <n v="1"/>
    <n v="0"/>
    <n v="341.12"/>
    <x v="139"/>
    <n v="341.12"/>
  </r>
  <r>
    <s v="CUST029"/>
    <s v="Michael Anderson"/>
    <s v="North"/>
    <s v="Electronics"/>
    <n v="458.54"/>
    <n v="15"/>
    <n v="0.2"/>
    <n v="91.71"/>
    <x v="140"/>
    <n v="91.71"/>
  </r>
  <r>
    <s v="CUST009"/>
    <s v="Michael Anderson"/>
    <s v="South"/>
    <s v="Furniture"/>
    <n v="1184.25"/>
    <n v="11"/>
    <n v="0.2"/>
    <n v="331.59"/>
    <x v="141"/>
    <n v="331.59"/>
  </r>
  <r>
    <s v="CUST007"/>
    <s v="James Davis"/>
    <s v="South"/>
    <s v="Clothing"/>
    <n v="762.14"/>
    <n v="9"/>
    <n v="0"/>
    <n v="381.07"/>
    <x v="142"/>
    <n v="381.07"/>
  </r>
  <r>
    <s v="CUST030"/>
    <s v="Linda Taylor"/>
    <s v="North"/>
    <s v="Books"/>
    <n v="750.71"/>
    <n v="10"/>
    <n v="0.15"/>
    <n v="255.24"/>
    <x v="142"/>
    <n v="255.24"/>
  </r>
  <r>
    <s v="CUST018"/>
    <s v="David Anderson"/>
    <s v="Central"/>
    <s v="Clothing"/>
    <n v="1456.94"/>
    <n v="14"/>
    <n v="0.05"/>
    <n v="692.05"/>
    <x v="143"/>
    <n v="692.05"/>
  </r>
  <r>
    <s v="CUST008"/>
    <s v="Emma Wilson"/>
    <s v="East"/>
    <s v="Furniture"/>
    <n v="1093.3800000000001"/>
    <n v="17"/>
    <n v="0.1"/>
    <n v="344.41"/>
    <x v="143"/>
    <n v="344.41"/>
  </r>
  <r>
    <s v="CUST014"/>
    <s v="Sarah Anderson"/>
    <s v="West"/>
    <s v="Clothing"/>
    <n v="934.27"/>
    <n v="8"/>
    <n v="0.15"/>
    <n v="397.06"/>
    <x v="144"/>
    <n v="397.06"/>
  </r>
  <r>
    <s v="CUST024"/>
    <s v="David Thomas"/>
    <s v="Central"/>
    <s v="Clothing"/>
    <n v="1465.35"/>
    <n v="8"/>
    <n v="0.2"/>
    <n v="586.14"/>
    <x v="144"/>
    <n v="586.14"/>
  </r>
  <r>
    <s v="CUST028"/>
    <s v="Robert Anderson"/>
    <s v="South"/>
    <s v="Office Supplies"/>
    <n v="740.8"/>
    <n v="3"/>
    <n v="0"/>
    <n v="333.36"/>
    <x v="145"/>
    <n v="333.36"/>
  </r>
  <r>
    <s v="CUST015"/>
    <s v="Sarah Anderson"/>
    <s v="West"/>
    <s v="Office Supplies"/>
    <n v="545.44000000000005"/>
    <n v="17"/>
    <n v="0"/>
    <n v="245.45"/>
    <x v="146"/>
    <n v="245.45"/>
  </r>
  <r>
    <s v="CUST010"/>
    <s v="David Thomas"/>
    <s v="East"/>
    <s v="Books"/>
    <n v="997.61"/>
    <n v="8"/>
    <n v="0.05"/>
    <n v="379.09"/>
    <x v="146"/>
    <n v="379.09"/>
  </r>
  <r>
    <s v="CUST016"/>
    <s v="David Thomas"/>
    <s v="South"/>
    <s v="Clothing"/>
    <n v="928.32"/>
    <n v="2"/>
    <n v="0.05"/>
    <n v="440.95"/>
    <x v="147"/>
    <n v="440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9F4AA-8F89-434A-841D-E5823F7EA96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12"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numFmtId="165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16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4" baseField="0" baseItem="0" numFmtId="2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DFC7A-1D7A-460E-B8CA-61454F36BC2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">
  <location ref="A3:G10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numFmtId="2" showAll="0"/>
    <pivotField showAll="0"/>
    <pivotField numFmtId="9" showAll="0"/>
    <pivotField numFmtId="165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 numFmtId="2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17CD-4A28-4187-8D49-EABFB87DC080}">
  <sheetPr filterMode="1"/>
  <dimension ref="A1:I201"/>
  <sheetViews>
    <sheetView workbookViewId="0">
      <selection activeCell="H27" sqref="H27"/>
    </sheetView>
  </sheetViews>
  <sheetFormatPr defaultRowHeight="14.4" x14ac:dyDescent="0.3"/>
  <cols>
    <col min="1" max="1" width="13.33203125" customWidth="1"/>
    <col min="2" max="2" width="19.6640625" bestFit="1" customWidth="1"/>
    <col min="3" max="3" width="11.21875" bestFit="1" customWidth="1"/>
    <col min="4" max="4" width="20.77734375" bestFit="1" customWidth="1"/>
    <col min="5" max="5" width="9.6640625" style="17" bestFit="1" customWidth="1"/>
    <col min="6" max="6" width="12.77734375" bestFit="1" customWidth="1"/>
    <col min="7" max="7" width="12.77734375" style="7" bestFit="1" customWidth="1"/>
    <col min="8" max="8" width="16.77734375" style="11" bestFit="1" customWidth="1"/>
    <col min="9" max="9" width="10.109375" bestFit="1" customWidth="1"/>
    <col min="10" max="10" width="11.88671875" bestFit="1" customWidth="1"/>
  </cols>
  <sheetData>
    <row r="1" spans="1:9" ht="15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5" t="s">
        <v>4</v>
      </c>
      <c r="F1" s="12" t="s">
        <v>5</v>
      </c>
      <c r="G1" s="13" t="s">
        <v>6</v>
      </c>
      <c r="H1" s="14" t="s">
        <v>7</v>
      </c>
      <c r="I1" s="12" t="s">
        <v>8</v>
      </c>
    </row>
    <row r="2" spans="1:9" ht="15" thickBot="1" x14ac:dyDescent="0.35">
      <c r="A2" s="8" t="s">
        <v>9</v>
      </c>
      <c r="B2" s="8" t="s">
        <v>10</v>
      </c>
      <c r="C2" s="8" t="s">
        <v>11</v>
      </c>
      <c r="D2" s="8" t="s">
        <v>12</v>
      </c>
      <c r="E2" s="16">
        <v>1036.0899999999999</v>
      </c>
      <c r="F2" s="8">
        <v>4</v>
      </c>
      <c r="G2" s="9">
        <v>0.2</v>
      </c>
      <c r="H2" s="10">
        <v>45392</v>
      </c>
      <c r="I2" s="8">
        <v>331.55</v>
      </c>
    </row>
    <row r="3" spans="1:9" ht="15" thickBot="1" x14ac:dyDescent="0.35">
      <c r="A3" s="8" t="s">
        <v>13</v>
      </c>
      <c r="B3" s="8" t="s">
        <v>14</v>
      </c>
      <c r="C3" s="8" t="s">
        <v>11</v>
      </c>
      <c r="D3" s="8" t="s">
        <v>15</v>
      </c>
      <c r="E3" s="16">
        <v>1101.28</v>
      </c>
      <c r="F3" s="8">
        <v>3</v>
      </c>
      <c r="G3" s="9">
        <v>0.2</v>
      </c>
      <c r="H3" s="10">
        <v>45393</v>
      </c>
      <c r="I3" s="8">
        <v>440.51</v>
      </c>
    </row>
    <row r="4" spans="1:9" ht="15" hidden="1" thickBot="1" x14ac:dyDescent="0.35">
      <c r="A4" s="8" t="s">
        <v>16</v>
      </c>
      <c r="B4" s="8" t="s">
        <v>17</v>
      </c>
      <c r="C4" s="8" t="s">
        <v>18</v>
      </c>
      <c r="D4" s="8" t="s">
        <v>12</v>
      </c>
      <c r="E4" s="16">
        <v>713.34</v>
      </c>
      <c r="F4" s="8">
        <v>17</v>
      </c>
      <c r="G4" s="9">
        <v>0</v>
      </c>
      <c r="H4" s="10">
        <v>45396</v>
      </c>
      <c r="I4" s="8">
        <v>285.33999999999997</v>
      </c>
    </row>
    <row r="5" spans="1:9" ht="15" hidden="1" thickBot="1" x14ac:dyDescent="0.35">
      <c r="A5" s="8" t="s">
        <v>19</v>
      </c>
      <c r="B5" s="8" t="s">
        <v>14</v>
      </c>
      <c r="C5" s="8" t="s">
        <v>20</v>
      </c>
      <c r="D5" s="8" t="s">
        <v>21</v>
      </c>
      <c r="E5" s="16">
        <v>760.93</v>
      </c>
      <c r="F5" s="8">
        <v>4</v>
      </c>
      <c r="G5" s="9">
        <v>0.15</v>
      </c>
      <c r="H5" s="10">
        <v>45396</v>
      </c>
      <c r="I5" s="8">
        <v>161.69999999999999</v>
      </c>
    </row>
    <row r="6" spans="1:9" ht="15" hidden="1" thickBot="1" x14ac:dyDescent="0.35">
      <c r="A6" s="8" t="s">
        <v>22</v>
      </c>
      <c r="B6" s="8" t="s">
        <v>23</v>
      </c>
      <c r="C6" s="8" t="s">
        <v>24</v>
      </c>
      <c r="D6" s="8" t="s">
        <v>12</v>
      </c>
      <c r="E6" s="16">
        <v>847</v>
      </c>
      <c r="F6" s="8">
        <v>12</v>
      </c>
      <c r="G6" s="9">
        <v>0.2</v>
      </c>
      <c r="H6" s="10">
        <v>45397</v>
      </c>
      <c r="I6" s="8">
        <v>271.04000000000002</v>
      </c>
    </row>
    <row r="7" spans="1:9" ht="15" hidden="1" thickBot="1" x14ac:dyDescent="0.35">
      <c r="A7" s="8" t="s">
        <v>25</v>
      </c>
      <c r="B7" s="8" t="s">
        <v>26</v>
      </c>
      <c r="C7" s="8" t="s">
        <v>24</v>
      </c>
      <c r="D7" s="8" t="s">
        <v>27</v>
      </c>
      <c r="E7" s="16">
        <v>965.64</v>
      </c>
      <c r="F7" s="8">
        <v>8</v>
      </c>
      <c r="G7" s="9">
        <v>0.1</v>
      </c>
      <c r="H7" s="10">
        <v>45398</v>
      </c>
      <c r="I7" s="8">
        <v>304.18</v>
      </c>
    </row>
    <row r="8" spans="1:9" ht="15" thickBot="1" x14ac:dyDescent="0.35">
      <c r="A8" s="8" t="s">
        <v>28</v>
      </c>
      <c r="B8" s="8" t="s">
        <v>29</v>
      </c>
      <c r="C8" s="8" t="s">
        <v>11</v>
      </c>
      <c r="D8" s="8" t="s">
        <v>21</v>
      </c>
      <c r="E8" s="16">
        <v>1317.53</v>
      </c>
      <c r="F8" s="8">
        <v>12</v>
      </c>
      <c r="G8" s="9">
        <v>0.05</v>
      </c>
      <c r="H8" s="10">
        <v>45398</v>
      </c>
      <c r="I8" s="8">
        <v>312.91000000000003</v>
      </c>
    </row>
    <row r="9" spans="1:9" ht="15" thickBot="1" x14ac:dyDescent="0.35">
      <c r="A9" s="8" t="s">
        <v>30</v>
      </c>
      <c r="B9" s="8" t="s">
        <v>31</v>
      </c>
      <c r="C9" s="8" t="s">
        <v>18</v>
      </c>
      <c r="D9" s="8" t="s">
        <v>27</v>
      </c>
      <c r="E9" s="16">
        <v>1074.47</v>
      </c>
      <c r="F9" s="8">
        <v>6</v>
      </c>
      <c r="G9" s="9">
        <v>0.2</v>
      </c>
      <c r="H9" s="10">
        <v>45401</v>
      </c>
      <c r="I9" s="8">
        <v>300.85000000000002</v>
      </c>
    </row>
    <row r="10" spans="1:9" ht="15" hidden="1" thickBot="1" x14ac:dyDescent="0.35">
      <c r="A10" s="8" t="s">
        <v>32</v>
      </c>
      <c r="B10" s="8" t="s">
        <v>33</v>
      </c>
      <c r="C10" s="8" t="s">
        <v>34</v>
      </c>
      <c r="D10" s="8" t="s">
        <v>12</v>
      </c>
      <c r="E10" s="16">
        <v>501.54</v>
      </c>
      <c r="F10" s="8">
        <v>11</v>
      </c>
      <c r="G10" s="9">
        <v>0.05</v>
      </c>
      <c r="H10" s="10">
        <v>45401</v>
      </c>
      <c r="I10" s="8">
        <v>190.59</v>
      </c>
    </row>
    <row r="11" spans="1:9" ht="15" hidden="1" thickBot="1" x14ac:dyDescent="0.35">
      <c r="A11" s="8" t="s">
        <v>35</v>
      </c>
      <c r="B11" s="8" t="s">
        <v>36</v>
      </c>
      <c r="C11" s="8" t="s">
        <v>34</v>
      </c>
      <c r="D11" s="8" t="s">
        <v>15</v>
      </c>
      <c r="E11" s="16">
        <v>737.31</v>
      </c>
      <c r="F11" s="8">
        <v>2</v>
      </c>
      <c r="G11" s="9">
        <v>0.05</v>
      </c>
      <c r="H11" s="10">
        <v>45401</v>
      </c>
      <c r="I11" s="8">
        <v>350.22</v>
      </c>
    </row>
    <row r="12" spans="1:9" ht="15" thickBot="1" x14ac:dyDescent="0.35">
      <c r="A12" s="8" t="s">
        <v>37</v>
      </c>
      <c r="B12" s="8" t="s">
        <v>38</v>
      </c>
      <c r="C12" s="8" t="s">
        <v>11</v>
      </c>
      <c r="D12" s="8" t="s">
        <v>39</v>
      </c>
      <c r="E12" s="16">
        <v>1572.82</v>
      </c>
      <c r="F12" s="8">
        <v>6</v>
      </c>
      <c r="G12" s="9">
        <v>0.05</v>
      </c>
      <c r="H12" s="10">
        <v>45402</v>
      </c>
      <c r="I12" s="8">
        <v>672.38</v>
      </c>
    </row>
    <row r="13" spans="1:9" ht="15" thickBot="1" x14ac:dyDescent="0.35">
      <c r="A13" s="8" t="s">
        <v>37</v>
      </c>
      <c r="B13" s="8" t="s">
        <v>36</v>
      </c>
      <c r="C13" s="8" t="s">
        <v>34</v>
      </c>
      <c r="D13" s="8" t="s">
        <v>12</v>
      </c>
      <c r="E13" s="16">
        <v>1343.13</v>
      </c>
      <c r="F13" s="8">
        <v>14</v>
      </c>
      <c r="G13" s="9">
        <v>0.15</v>
      </c>
      <c r="H13" s="10">
        <v>45404</v>
      </c>
      <c r="I13" s="8">
        <v>456.66</v>
      </c>
    </row>
    <row r="14" spans="1:9" ht="15" thickBot="1" x14ac:dyDescent="0.35">
      <c r="A14" s="8" t="s">
        <v>25</v>
      </c>
      <c r="B14" s="8" t="s">
        <v>26</v>
      </c>
      <c r="C14" s="8" t="s">
        <v>34</v>
      </c>
      <c r="D14" s="8" t="s">
        <v>12</v>
      </c>
      <c r="E14" s="16">
        <v>1191.58</v>
      </c>
      <c r="F14" s="8">
        <v>14</v>
      </c>
      <c r="G14" s="9">
        <v>0.05</v>
      </c>
      <c r="H14" s="10">
        <v>45406</v>
      </c>
      <c r="I14" s="8">
        <v>452.8</v>
      </c>
    </row>
    <row r="15" spans="1:9" ht="15" hidden="1" thickBot="1" x14ac:dyDescent="0.35">
      <c r="A15" s="8" t="s">
        <v>40</v>
      </c>
      <c r="B15" s="8" t="s">
        <v>14</v>
      </c>
      <c r="C15" s="8" t="s">
        <v>11</v>
      </c>
      <c r="D15" s="8" t="s">
        <v>27</v>
      </c>
      <c r="E15" s="16">
        <v>822.28</v>
      </c>
      <c r="F15" s="8">
        <v>7</v>
      </c>
      <c r="G15" s="9">
        <v>0.05</v>
      </c>
      <c r="H15" s="10">
        <v>45406</v>
      </c>
      <c r="I15" s="8">
        <v>273.41000000000003</v>
      </c>
    </row>
    <row r="16" spans="1:9" ht="15" hidden="1" thickBot="1" x14ac:dyDescent="0.35">
      <c r="A16" s="8" t="s">
        <v>41</v>
      </c>
      <c r="B16" s="8" t="s">
        <v>42</v>
      </c>
      <c r="C16" s="8" t="s">
        <v>24</v>
      </c>
      <c r="D16" s="8" t="s">
        <v>27</v>
      </c>
      <c r="E16" s="16">
        <v>521.66999999999996</v>
      </c>
      <c r="F16" s="8">
        <v>15</v>
      </c>
      <c r="G16" s="9">
        <v>0.15</v>
      </c>
      <c r="H16" s="10">
        <v>45409</v>
      </c>
      <c r="I16" s="8">
        <v>155.19999999999999</v>
      </c>
    </row>
    <row r="17" spans="1:9" ht="15" thickBot="1" x14ac:dyDescent="0.35">
      <c r="A17" s="8" t="s">
        <v>19</v>
      </c>
      <c r="B17" s="8" t="s">
        <v>43</v>
      </c>
      <c r="C17" s="8" t="s">
        <v>20</v>
      </c>
      <c r="D17" s="8" t="s">
        <v>21</v>
      </c>
      <c r="E17" s="16">
        <v>1502.93</v>
      </c>
      <c r="F17" s="8">
        <v>14</v>
      </c>
      <c r="G17" s="9">
        <v>0.2</v>
      </c>
      <c r="H17" s="10">
        <v>45410</v>
      </c>
      <c r="I17" s="8">
        <v>300.58999999999997</v>
      </c>
    </row>
    <row r="18" spans="1:9" ht="15" hidden="1" thickBot="1" x14ac:dyDescent="0.35">
      <c r="A18" s="8" t="s">
        <v>44</v>
      </c>
      <c r="B18" s="8" t="s">
        <v>14</v>
      </c>
      <c r="C18" s="8" t="s">
        <v>20</v>
      </c>
      <c r="D18" s="8" t="s">
        <v>12</v>
      </c>
      <c r="E18" s="16">
        <v>877.58</v>
      </c>
      <c r="F18" s="8">
        <v>10</v>
      </c>
      <c r="G18" s="9">
        <v>0.15</v>
      </c>
      <c r="H18" s="10">
        <v>45411</v>
      </c>
      <c r="I18" s="8">
        <v>298.38</v>
      </c>
    </row>
    <row r="19" spans="1:9" ht="15" hidden="1" thickBot="1" x14ac:dyDescent="0.35">
      <c r="A19" s="8" t="s">
        <v>28</v>
      </c>
      <c r="B19" s="8" t="s">
        <v>45</v>
      </c>
      <c r="C19" s="8" t="s">
        <v>11</v>
      </c>
      <c r="D19" s="8" t="s">
        <v>12</v>
      </c>
      <c r="E19" s="16">
        <v>636.70000000000005</v>
      </c>
      <c r="F19" s="8">
        <v>4</v>
      </c>
      <c r="G19" s="9">
        <v>0.2</v>
      </c>
      <c r="H19" s="10">
        <v>45411</v>
      </c>
      <c r="I19" s="8">
        <v>203.74</v>
      </c>
    </row>
    <row r="20" spans="1:9" ht="15" thickBot="1" x14ac:dyDescent="0.35">
      <c r="A20" s="8" t="s">
        <v>46</v>
      </c>
      <c r="B20" s="8" t="s">
        <v>47</v>
      </c>
      <c r="C20" s="8" t="s">
        <v>11</v>
      </c>
      <c r="D20" s="8" t="s">
        <v>12</v>
      </c>
      <c r="E20" s="16">
        <v>1506.14</v>
      </c>
      <c r="F20" s="8">
        <v>13</v>
      </c>
      <c r="G20" s="9">
        <v>0.2</v>
      </c>
      <c r="H20" s="10">
        <v>45412</v>
      </c>
      <c r="I20" s="8">
        <v>481.96</v>
      </c>
    </row>
    <row r="21" spans="1:9" ht="15" hidden="1" thickBot="1" x14ac:dyDescent="0.35">
      <c r="A21" s="8" t="s">
        <v>30</v>
      </c>
      <c r="B21" s="8" t="s">
        <v>31</v>
      </c>
      <c r="C21" s="8" t="s">
        <v>34</v>
      </c>
      <c r="D21" s="8" t="s">
        <v>21</v>
      </c>
      <c r="E21" s="16">
        <v>645.02</v>
      </c>
      <c r="F21" s="8">
        <v>4</v>
      </c>
      <c r="G21" s="9">
        <v>0</v>
      </c>
      <c r="H21" s="10">
        <v>45414</v>
      </c>
      <c r="I21" s="8">
        <v>161.26</v>
      </c>
    </row>
    <row r="22" spans="1:9" ht="15" hidden="1" thickBot="1" x14ac:dyDescent="0.35">
      <c r="A22" s="8" t="s">
        <v>25</v>
      </c>
      <c r="B22" s="8" t="s">
        <v>48</v>
      </c>
      <c r="C22" s="8" t="s">
        <v>20</v>
      </c>
      <c r="D22" s="8" t="s">
        <v>15</v>
      </c>
      <c r="E22" s="16">
        <v>953.3</v>
      </c>
      <c r="F22" s="8">
        <v>11</v>
      </c>
      <c r="G22" s="9">
        <v>0</v>
      </c>
      <c r="H22" s="10">
        <v>45415</v>
      </c>
      <c r="I22" s="8">
        <v>476.65</v>
      </c>
    </row>
    <row r="23" spans="1:9" ht="15" hidden="1" thickBot="1" x14ac:dyDescent="0.35">
      <c r="A23" s="8" t="s">
        <v>49</v>
      </c>
      <c r="B23" s="8" t="s">
        <v>14</v>
      </c>
      <c r="C23" s="8" t="s">
        <v>24</v>
      </c>
      <c r="D23" s="8" t="s">
        <v>21</v>
      </c>
      <c r="E23" s="16">
        <v>388.56</v>
      </c>
      <c r="F23" s="8">
        <v>14</v>
      </c>
      <c r="G23" s="9">
        <v>0.15</v>
      </c>
      <c r="H23" s="10">
        <v>45416</v>
      </c>
      <c r="I23" s="8">
        <v>82.57</v>
      </c>
    </row>
    <row r="24" spans="1:9" ht="15" hidden="1" thickBot="1" x14ac:dyDescent="0.35">
      <c r="A24" s="8" t="s">
        <v>9</v>
      </c>
      <c r="B24" s="8" t="s">
        <v>31</v>
      </c>
      <c r="C24" s="8" t="s">
        <v>11</v>
      </c>
      <c r="D24" s="8" t="s">
        <v>12</v>
      </c>
      <c r="E24" s="16">
        <v>743.17</v>
      </c>
      <c r="F24" s="8">
        <v>9</v>
      </c>
      <c r="G24" s="9">
        <v>0</v>
      </c>
      <c r="H24" s="10">
        <v>45416</v>
      </c>
      <c r="I24" s="8">
        <v>297.27</v>
      </c>
    </row>
    <row r="25" spans="1:9" ht="15" hidden="1" thickBot="1" x14ac:dyDescent="0.35">
      <c r="A25" s="8" t="s">
        <v>40</v>
      </c>
      <c r="B25" s="8" t="s">
        <v>31</v>
      </c>
      <c r="C25" s="8" t="s">
        <v>34</v>
      </c>
      <c r="D25" s="8" t="s">
        <v>21</v>
      </c>
      <c r="E25" s="16">
        <v>706.37</v>
      </c>
      <c r="F25" s="8">
        <v>6</v>
      </c>
      <c r="G25" s="9">
        <v>0</v>
      </c>
      <c r="H25" s="10">
        <v>45416</v>
      </c>
      <c r="I25" s="8">
        <v>176.59</v>
      </c>
    </row>
    <row r="26" spans="1:9" ht="15" hidden="1" thickBot="1" x14ac:dyDescent="0.35">
      <c r="A26" s="8" t="s">
        <v>13</v>
      </c>
      <c r="B26" s="8" t="s">
        <v>31</v>
      </c>
      <c r="C26" s="8" t="s">
        <v>34</v>
      </c>
      <c r="D26" s="8" t="s">
        <v>39</v>
      </c>
      <c r="E26" s="16">
        <v>925.31</v>
      </c>
      <c r="F26" s="8">
        <v>8</v>
      </c>
      <c r="G26" s="9">
        <v>0.1</v>
      </c>
      <c r="H26" s="10">
        <v>45418</v>
      </c>
      <c r="I26" s="8">
        <v>374.75</v>
      </c>
    </row>
    <row r="27" spans="1:9" ht="15" thickBot="1" x14ac:dyDescent="0.35">
      <c r="A27" s="8" t="s">
        <v>35</v>
      </c>
      <c r="B27" s="8" t="s">
        <v>50</v>
      </c>
      <c r="C27" s="8" t="s">
        <v>20</v>
      </c>
      <c r="D27" s="8" t="s">
        <v>21</v>
      </c>
      <c r="E27" s="16">
        <v>1173.1199999999999</v>
      </c>
      <c r="F27" s="8">
        <v>18</v>
      </c>
      <c r="G27" s="9">
        <v>0</v>
      </c>
      <c r="H27" s="10">
        <v>45418</v>
      </c>
      <c r="I27" s="8">
        <v>293.27999999999997</v>
      </c>
    </row>
    <row r="28" spans="1:9" ht="15" hidden="1" thickBot="1" x14ac:dyDescent="0.35">
      <c r="A28" s="8" t="s">
        <v>22</v>
      </c>
      <c r="B28" s="8" t="s">
        <v>51</v>
      </c>
      <c r="C28" s="8" t="s">
        <v>24</v>
      </c>
      <c r="D28" s="8" t="s">
        <v>27</v>
      </c>
      <c r="E28" s="16">
        <v>675.54</v>
      </c>
      <c r="F28" s="8">
        <v>17</v>
      </c>
      <c r="G28" s="9">
        <v>0</v>
      </c>
      <c r="H28" s="10">
        <v>45420</v>
      </c>
      <c r="I28" s="8">
        <v>236.44</v>
      </c>
    </row>
    <row r="29" spans="1:9" ht="15" hidden="1" thickBot="1" x14ac:dyDescent="0.35">
      <c r="A29" s="8" t="s">
        <v>25</v>
      </c>
      <c r="B29" s="8" t="s">
        <v>14</v>
      </c>
      <c r="C29" s="8" t="s">
        <v>34</v>
      </c>
      <c r="D29" s="8" t="s">
        <v>12</v>
      </c>
      <c r="E29" s="16">
        <v>939.09</v>
      </c>
      <c r="F29" s="8">
        <v>2</v>
      </c>
      <c r="G29" s="9">
        <v>0.05</v>
      </c>
      <c r="H29" s="10">
        <v>45422</v>
      </c>
      <c r="I29" s="8">
        <v>356.85</v>
      </c>
    </row>
    <row r="30" spans="1:9" ht="15" hidden="1" thickBot="1" x14ac:dyDescent="0.35">
      <c r="A30" s="8" t="s">
        <v>52</v>
      </c>
      <c r="B30" s="8" t="s">
        <v>53</v>
      </c>
      <c r="C30" s="8" t="s">
        <v>18</v>
      </c>
      <c r="D30" s="8" t="s">
        <v>39</v>
      </c>
      <c r="E30" s="16">
        <v>983.34</v>
      </c>
      <c r="F30" s="8">
        <v>19</v>
      </c>
      <c r="G30" s="9">
        <v>0.1</v>
      </c>
      <c r="H30" s="10">
        <v>45426</v>
      </c>
      <c r="I30" s="8">
        <v>398.25</v>
      </c>
    </row>
    <row r="31" spans="1:9" ht="15" hidden="1" thickBot="1" x14ac:dyDescent="0.35">
      <c r="A31" s="8" t="s">
        <v>52</v>
      </c>
      <c r="B31" s="8" t="s">
        <v>23</v>
      </c>
      <c r="C31" s="8" t="s">
        <v>20</v>
      </c>
      <c r="D31" s="8" t="s">
        <v>21</v>
      </c>
      <c r="E31" s="16">
        <v>801.21</v>
      </c>
      <c r="F31" s="8">
        <v>3</v>
      </c>
      <c r="G31" s="9">
        <v>0.2</v>
      </c>
      <c r="H31" s="10">
        <v>45426</v>
      </c>
      <c r="I31" s="8">
        <v>160.24</v>
      </c>
    </row>
    <row r="32" spans="1:9" ht="15" thickBot="1" x14ac:dyDescent="0.35">
      <c r="A32" s="8" t="s">
        <v>54</v>
      </c>
      <c r="B32" s="8" t="s">
        <v>55</v>
      </c>
      <c r="C32" s="8" t="s">
        <v>24</v>
      </c>
      <c r="D32" s="8" t="s">
        <v>21</v>
      </c>
      <c r="E32" s="16">
        <v>1450.71</v>
      </c>
      <c r="F32" s="8">
        <v>5</v>
      </c>
      <c r="G32" s="9">
        <v>0.1</v>
      </c>
      <c r="H32" s="10">
        <v>45427</v>
      </c>
      <c r="I32" s="8">
        <v>326.41000000000003</v>
      </c>
    </row>
    <row r="33" spans="1:9" ht="15" thickBot="1" x14ac:dyDescent="0.35">
      <c r="A33" s="8" t="s">
        <v>49</v>
      </c>
      <c r="B33" s="8" t="s">
        <v>56</v>
      </c>
      <c r="C33" s="8" t="s">
        <v>34</v>
      </c>
      <c r="D33" s="8" t="s">
        <v>12</v>
      </c>
      <c r="E33" s="16">
        <v>1023.21</v>
      </c>
      <c r="F33" s="8">
        <v>18</v>
      </c>
      <c r="G33" s="9">
        <v>0.05</v>
      </c>
      <c r="H33" s="10">
        <v>45428</v>
      </c>
      <c r="I33" s="8">
        <v>388.82</v>
      </c>
    </row>
    <row r="34" spans="1:9" ht="15" hidden="1" thickBot="1" x14ac:dyDescent="0.35">
      <c r="A34" s="8" t="s">
        <v>28</v>
      </c>
      <c r="B34" s="8" t="s">
        <v>47</v>
      </c>
      <c r="C34" s="8" t="s">
        <v>11</v>
      </c>
      <c r="D34" s="8" t="s">
        <v>27</v>
      </c>
      <c r="E34" s="16">
        <v>853.72</v>
      </c>
      <c r="F34" s="8">
        <v>5</v>
      </c>
      <c r="G34" s="9">
        <v>0.15</v>
      </c>
      <c r="H34" s="10">
        <v>45428</v>
      </c>
      <c r="I34" s="8">
        <v>253.98</v>
      </c>
    </row>
    <row r="35" spans="1:9" ht="15" hidden="1" thickBot="1" x14ac:dyDescent="0.35">
      <c r="A35" s="8" t="s">
        <v>57</v>
      </c>
      <c r="B35" s="8" t="s">
        <v>43</v>
      </c>
      <c r="C35" s="8" t="s">
        <v>20</v>
      </c>
      <c r="D35" s="8" t="s">
        <v>21</v>
      </c>
      <c r="E35" s="16">
        <v>967.89</v>
      </c>
      <c r="F35" s="8">
        <v>10</v>
      </c>
      <c r="G35" s="9">
        <v>0.1</v>
      </c>
      <c r="H35" s="10">
        <v>45429</v>
      </c>
      <c r="I35" s="8">
        <v>217.78</v>
      </c>
    </row>
    <row r="36" spans="1:9" ht="15" thickBot="1" x14ac:dyDescent="0.35">
      <c r="A36" s="8" t="s">
        <v>58</v>
      </c>
      <c r="B36" s="8" t="s">
        <v>53</v>
      </c>
      <c r="C36" s="8" t="s">
        <v>24</v>
      </c>
      <c r="D36" s="8" t="s">
        <v>39</v>
      </c>
      <c r="E36" s="16">
        <v>1200.9000000000001</v>
      </c>
      <c r="F36" s="8">
        <v>14</v>
      </c>
      <c r="G36" s="9">
        <v>0.05</v>
      </c>
      <c r="H36" s="10">
        <v>45429</v>
      </c>
      <c r="I36" s="8">
        <v>513.38</v>
      </c>
    </row>
    <row r="37" spans="1:9" ht="15" hidden="1" thickBot="1" x14ac:dyDescent="0.35">
      <c r="A37" s="8" t="s">
        <v>13</v>
      </c>
      <c r="B37" s="8" t="s">
        <v>26</v>
      </c>
      <c r="C37" s="8" t="s">
        <v>11</v>
      </c>
      <c r="D37" s="8" t="s">
        <v>12</v>
      </c>
      <c r="E37" s="16">
        <v>472.38</v>
      </c>
      <c r="F37" s="8">
        <v>12</v>
      </c>
      <c r="G37" s="9">
        <v>0.2</v>
      </c>
      <c r="H37" s="10">
        <v>45429</v>
      </c>
      <c r="I37" s="8">
        <v>151.16</v>
      </c>
    </row>
    <row r="38" spans="1:9" ht="15" hidden="1" thickBot="1" x14ac:dyDescent="0.35">
      <c r="A38" s="8" t="s">
        <v>9</v>
      </c>
      <c r="B38" s="8" t="s">
        <v>55</v>
      </c>
      <c r="C38" s="8" t="s">
        <v>18</v>
      </c>
      <c r="D38" s="8" t="s">
        <v>39</v>
      </c>
      <c r="E38" s="16">
        <v>840.92</v>
      </c>
      <c r="F38" s="8">
        <v>9</v>
      </c>
      <c r="G38" s="9">
        <v>0.05</v>
      </c>
      <c r="H38" s="10">
        <v>45429</v>
      </c>
      <c r="I38" s="8">
        <v>359.49</v>
      </c>
    </row>
    <row r="39" spans="1:9" ht="15" thickBot="1" x14ac:dyDescent="0.35">
      <c r="A39" s="8" t="s">
        <v>52</v>
      </c>
      <c r="B39" s="8" t="s">
        <v>48</v>
      </c>
      <c r="C39" s="8" t="s">
        <v>34</v>
      </c>
      <c r="D39" s="8" t="s">
        <v>27</v>
      </c>
      <c r="E39" s="16">
        <v>1410.06</v>
      </c>
      <c r="F39" s="8">
        <v>11</v>
      </c>
      <c r="G39" s="9">
        <v>0.05</v>
      </c>
      <c r="H39" s="10">
        <v>45434</v>
      </c>
      <c r="I39" s="8">
        <v>468.84</v>
      </c>
    </row>
    <row r="40" spans="1:9" ht="15" hidden="1" thickBot="1" x14ac:dyDescent="0.35">
      <c r="A40" s="8" t="s">
        <v>44</v>
      </c>
      <c r="B40" s="8" t="s">
        <v>59</v>
      </c>
      <c r="C40" s="8" t="s">
        <v>34</v>
      </c>
      <c r="D40" s="8" t="s">
        <v>27</v>
      </c>
      <c r="E40" s="16">
        <v>773.09</v>
      </c>
      <c r="F40" s="8">
        <v>13</v>
      </c>
      <c r="G40" s="9">
        <v>0.15</v>
      </c>
      <c r="H40" s="10">
        <v>45434</v>
      </c>
      <c r="I40" s="8">
        <v>229.99</v>
      </c>
    </row>
    <row r="41" spans="1:9" ht="15" hidden="1" thickBot="1" x14ac:dyDescent="0.35">
      <c r="A41" s="8" t="s">
        <v>60</v>
      </c>
      <c r="B41" s="8" t="s">
        <v>61</v>
      </c>
      <c r="C41" s="8" t="s">
        <v>18</v>
      </c>
      <c r="D41" s="8" t="s">
        <v>12</v>
      </c>
      <c r="E41" s="16">
        <v>580.42999999999995</v>
      </c>
      <c r="F41" s="8">
        <v>19</v>
      </c>
      <c r="G41" s="9">
        <v>0.15</v>
      </c>
      <c r="H41" s="10">
        <v>45435</v>
      </c>
      <c r="I41" s="8">
        <v>197.35</v>
      </c>
    </row>
    <row r="42" spans="1:9" ht="15" thickBot="1" x14ac:dyDescent="0.35">
      <c r="A42" s="8" t="s">
        <v>19</v>
      </c>
      <c r="B42" s="8" t="s">
        <v>42</v>
      </c>
      <c r="C42" s="8" t="s">
        <v>20</v>
      </c>
      <c r="D42" s="8" t="s">
        <v>12</v>
      </c>
      <c r="E42" s="16">
        <v>1151.21</v>
      </c>
      <c r="F42" s="8">
        <v>15</v>
      </c>
      <c r="G42" s="9">
        <v>0.1</v>
      </c>
      <c r="H42" s="10">
        <v>45445</v>
      </c>
      <c r="I42" s="8">
        <v>414.44</v>
      </c>
    </row>
    <row r="43" spans="1:9" ht="15" thickBot="1" x14ac:dyDescent="0.35">
      <c r="A43" s="8" t="s">
        <v>52</v>
      </c>
      <c r="B43" s="8" t="s">
        <v>23</v>
      </c>
      <c r="C43" s="8" t="s">
        <v>34</v>
      </c>
      <c r="D43" s="8" t="s">
        <v>39</v>
      </c>
      <c r="E43" s="16">
        <v>1025.98</v>
      </c>
      <c r="F43" s="8">
        <v>5</v>
      </c>
      <c r="G43" s="9">
        <v>0.2</v>
      </c>
      <c r="H43" s="10">
        <v>45447</v>
      </c>
      <c r="I43" s="8">
        <v>369.35</v>
      </c>
    </row>
    <row r="44" spans="1:9" ht="15" hidden="1" thickBot="1" x14ac:dyDescent="0.35">
      <c r="A44" s="8" t="s">
        <v>40</v>
      </c>
      <c r="B44" s="8" t="s">
        <v>56</v>
      </c>
      <c r="C44" s="8" t="s">
        <v>18</v>
      </c>
      <c r="D44" s="8" t="s">
        <v>39</v>
      </c>
      <c r="E44" s="16">
        <v>556.41999999999996</v>
      </c>
      <c r="F44" s="8">
        <v>11</v>
      </c>
      <c r="G44" s="9">
        <v>0.15</v>
      </c>
      <c r="H44" s="10">
        <v>45447</v>
      </c>
      <c r="I44" s="8">
        <v>212.83</v>
      </c>
    </row>
    <row r="45" spans="1:9" ht="15" hidden="1" thickBot="1" x14ac:dyDescent="0.35">
      <c r="A45" s="8" t="s">
        <v>57</v>
      </c>
      <c r="B45" s="8" t="s">
        <v>23</v>
      </c>
      <c r="C45" s="8" t="s">
        <v>34</v>
      </c>
      <c r="D45" s="8" t="s">
        <v>12</v>
      </c>
      <c r="E45" s="16">
        <v>840.85</v>
      </c>
      <c r="F45" s="8">
        <v>19</v>
      </c>
      <c r="G45" s="9">
        <v>0.1</v>
      </c>
      <c r="H45" s="10">
        <v>45448</v>
      </c>
      <c r="I45" s="8">
        <v>302.70999999999998</v>
      </c>
    </row>
    <row r="46" spans="1:9" ht="15" thickBot="1" x14ac:dyDescent="0.35">
      <c r="A46" s="8" t="s">
        <v>30</v>
      </c>
      <c r="B46" s="8" t="s">
        <v>61</v>
      </c>
      <c r="C46" s="8" t="s">
        <v>24</v>
      </c>
      <c r="D46" s="8" t="s">
        <v>27</v>
      </c>
      <c r="E46" s="16">
        <v>1227.25</v>
      </c>
      <c r="F46" s="8">
        <v>12</v>
      </c>
      <c r="G46" s="9">
        <v>0.15</v>
      </c>
      <c r="H46" s="10">
        <v>45448</v>
      </c>
      <c r="I46" s="8">
        <v>365.11</v>
      </c>
    </row>
    <row r="47" spans="1:9" ht="15" hidden="1" thickBot="1" x14ac:dyDescent="0.35">
      <c r="A47" s="8" t="s">
        <v>16</v>
      </c>
      <c r="B47" s="8" t="s">
        <v>62</v>
      </c>
      <c r="C47" s="8" t="s">
        <v>34</v>
      </c>
      <c r="D47" s="8" t="s">
        <v>21</v>
      </c>
      <c r="E47" s="16">
        <v>856.7</v>
      </c>
      <c r="F47" s="8">
        <v>2</v>
      </c>
      <c r="G47" s="9">
        <v>0</v>
      </c>
      <c r="H47" s="10">
        <v>45449</v>
      </c>
      <c r="I47" s="8">
        <v>214.18</v>
      </c>
    </row>
    <row r="48" spans="1:9" ht="15" thickBot="1" x14ac:dyDescent="0.35">
      <c r="A48" s="8" t="s">
        <v>54</v>
      </c>
      <c r="B48" s="8" t="s">
        <v>56</v>
      </c>
      <c r="C48" s="8" t="s">
        <v>34</v>
      </c>
      <c r="D48" s="8" t="s">
        <v>39</v>
      </c>
      <c r="E48" s="16">
        <v>1225.42</v>
      </c>
      <c r="F48" s="8">
        <v>8</v>
      </c>
      <c r="G48" s="9">
        <v>0.15</v>
      </c>
      <c r="H48" s="10">
        <v>45449</v>
      </c>
      <c r="I48" s="8">
        <v>468.72</v>
      </c>
    </row>
    <row r="49" spans="1:9" ht="15" thickBot="1" x14ac:dyDescent="0.35">
      <c r="A49" s="8" t="s">
        <v>63</v>
      </c>
      <c r="B49" s="8" t="s">
        <v>31</v>
      </c>
      <c r="C49" s="8" t="s">
        <v>24</v>
      </c>
      <c r="D49" s="8" t="s">
        <v>39</v>
      </c>
      <c r="E49" s="16">
        <v>1001.57</v>
      </c>
      <c r="F49" s="8">
        <v>12</v>
      </c>
      <c r="G49" s="9">
        <v>0</v>
      </c>
      <c r="H49" s="10">
        <v>45450</v>
      </c>
      <c r="I49" s="8">
        <v>450.71</v>
      </c>
    </row>
    <row r="50" spans="1:9" ht="15" thickBot="1" x14ac:dyDescent="0.35">
      <c r="A50" s="8" t="s">
        <v>57</v>
      </c>
      <c r="B50" s="8" t="s">
        <v>26</v>
      </c>
      <c r="C50" s="8" t="s">
        <v>18</v>
      </c>
      <c r="D50" s="8" t="s">
        <v>27</v>
      </c>
      <c r="E50" s="16">
        <v>1186.8499999999999</v>
      </c>
      <c r="F50" s="8">
        <v>19</v>
      </c>
      <c r="G50" s="9">
        <v>0.2</v>
      </c>
      <c r="H50" s="10">
        <v>45451</v>
      </c>
      <c r="I50" s="8">
        <v>332.32</v>
      </c>
    </row>
    <row r="51" spans="1:9" ht="15" hidden="1" thickBot="1" x14ac:dyDescent="0.35">
      <c r="A51" s="8" t="s">
        <v>44</v>
      </c>
      <c r="B51" s="8" t="s">
        <v>51</v>
      </c>
      <c r="C51" s="8" t="s">
        <v>20</v>
      </c>
      <c r="D51" s="8" t="s">
        <v>21</v>
      </c>
      <c r="E51" s="16">
        <v>775.45</v>
      </c>
      <c r="F51" s="8">
        <v>6</v>
      </c>
      <c r="G51" s="9">
        <v>0.1</v>
      </c>
      <c r="H51" s="10">
        <v>45457</v>
      </c>
      <c r="I51" s="8">
        <v>174.48</v>
      </c>
    </row>
    <row r="52" spans="1:9" ht="15" thickBot="1" x14ac:dyDescent="0.35">
      <c r="A52" s="8" t="s">
        <v>25</v>
      </c>
      <c r="B52" s="8" t="s">
        <v>33</v>
      </c>
      <c r="C52" s="8" t="s">
        <v>20</v>
      </c>
      <c r="D52" s="8" t="s">
        <v>21</v>
      </c>
      <c r="E52" s="16">
        <v>1021.47</v>
      </c>
      <c r="F52" s="8">
        <v>6</v>
      </c>
      <c r="G52" s="9">
        <v>0.05</v>
      </c>
      <c r="H52" s="10">
        <v>45461</v>
      </c>
      <c r="I52" s="8">
        <v>242.6</v>
      </c>
    </row>
    <row r="53" spans="1:9" ht="15" thickBot="1" x14ac:dyDescent="0.35">
      <c r="A53" s="8" t="s">
        <v>58</v>
      </c>
      <c r="B53" s="8" t="s">
        <v>23</v>
      </c>
      <c r="C53" s="8" t="s">
        <v>20</v>
      </c>
      <c r="D53" s="8" t="s">
        <v>15</v>
      </c>
      <c r="E53" s="16">
        <v>1226.6199999999999</v>
      </c>
      <c r="F53" s="8">
        <v>7</v>
      </c>
      <c r="G53" s="9">
        <v>0.1</v>
      </c>
      <c r="H53" s="10">
        <v>45463</v>
      </c>
      <c r="I53" s="8">
        <v>551.98</v>
      </c>
    </row>
    <row r="54" spans="1:9" ht="15" thickBot="1" x14ac:dyDescent="0.35">
      <c r="A54" s="8" t="s">
        <v>22</v>
      </c>
      <c r="B54" s="8" t="s">
        <v>64</v>
      </c>
      <c r="C54" s="8" t="s">
        <v>20</v>
      </c>
      <c r="D54" s="8" t="s">
        <v>27</v>
      </c>
      <c r="E54" s="16">
        <v>1086.93</v>
      </c>
      <c r="F54" s="8">
        <v>2</v>
      </c>
      <c r="G54" s="9">
        <v>0</v>
      </c>
      <c r="H54" s="10">
        <v>45464</v>
      </c>
      <c r="I54" s="8">
        <v>380.43</v>
      </c>
    </row>
    <row r="55" spans="1:9" ht="15" hidden="1" thickBot="1" x14ac:dyDescent="0.35">
      <c r="A55" s="8" t="s">
        <v>65</v>
      </c>
      <c r="B55" s="8" t="s">
        <v>48</v>
      </c>
      <c r="C55" s="8" t="s">
        <v>11</v>
      </c>
      <c r="D55" s="8" t="s">
        <v>12</v>
      </c>
      <c r="E55" s="16">
        <v>942.9</v>
      </c>
      <c r="F55" s="8">
        <v>18</v>
      </c>
      <c r="G55" s="9">
        <v>0.1</v>
      </c>
      <c r="H55" s="10">
        <v>45466</v>
      </c>
      <c r="I55" s="8">
        <v>339.44</v>
      </c>
    </row>
    <row r="56" spans="1:9" ht="15" hidden="1" thickBot="1" x14ac:dyDescent="0.35">
      <c r="A56" s="8" t="s">
        <v>32</v>
      </c>
      <c r="B56" s="8" t="s">
        <v>38</v>
      </c>
      <c r="C56" s="8" t="s">
        <v>24</v>
      </c>
      <c r="D56" s="8" t="s">
        <v>21</v>
      </c>
      <c r="E56" s="16">
        <v>818.8</v>
      </c>
      <c r="F56" s="8">
        <v>15</v>
      </c>
      <c r="G56" s="9">
        <v>0.15</v>
      </c>
      <c r="H56" s="10">
        <v>45468</v>
      </c>
      <c r="I56" s="8">
        <v>173.99</v>
      </c>
    </row>
    <row r="57" spans="1:9" ht="15" hidden="1" thickBot="1" x14ac:dyDescent="0.35">
      <c r="A57" s="8" t="s">
        <v>19</v>
      </c>
      <c r="B57" s="8" t="s">
        <v>14</v>
      </c>
      <c r="C57" s="8" t="s">
        <v>20</v>
      </c>
      <c r="D57" s="8" t="s">
        <v>27</v>
      </c>
      <c r="E57" s="16">
        <v>919.04</v>
      </c>
      <c r="F57" s="8">
        <v>10</v>
      </c>
      <c r="G57" s="9">
        <v>0.2</v>
      </c>
      <c r="H57" s="10">
        <v>45468</v>
      </c>
      <c r="I57" s="8">
        <v>257.33</v>
      </c>
    </row>
    <row r="58" spans="1:9" ht="15" hidden="1" thickBot="1" x14ac:dyDescent="0.35">
      <c r="A58" s="8" t="s">
        <v>22</v>
      </c>
      <c r="B58" s="8" t="s">
        <v>66</v>
      </c>
      <c r="C58" s="8" t="s">
        <v>34</v>
      </c>
      <c r="D58" s="8" t="s">
        <v>12</v>
      </c>
      <c r="E58" s="16">
        <v>973.26</v>
      </c>
      <c r="F58" s="8">
        <v>11</v>
      </c>
      <c r="G58" s="9">
        <v>0</v>
      </c>
      <c r="H58" s="10">
        <v>45470</v>
      </c>
      <c r="I58" s="8">
        <v>389.3</v>
      </c>
    </row>
    <row r="59" spans="1:9" ht="15" hidden="1" thickBot="1" x14ac:dyDescent="0.35">
      <c r="A59" s="8" t="s">
        <v>41</v>
      </c>
      <c r="B59" s="8" t="s">
        <v>64</v>
      </c>
      <c r="C59" s="8" t="s">
        <v>24</v>
      </c>
      <c r="D59" s="8" t="s">
        <v>21</v>
      </c>
      <c r="E59" s="16">
        <v>741.61</v>
      </c>
      <c r="F59" s="8">
        <v>1</v>
      </c>
      <c r="G59" s="9">
        <v>0.2</v>
      </c>
      <c r="H59" s="10">
        <v>45471</v>
      </c>
      <c r="I59" s="8">
        <v>148.32</v>
      </c>
    </row>
    <row r="60" spans="1:9" ht="15" thickBot="1" x14ac:dyDescent="0.35">
      <c r="A60" s="8" t="s">
        <v>67</v>
      </c>
      <c r="B60" s="8" t="s">
        <v>38</v>
      </c>
      <c r="C60" s="8" t="s">
        <v>24</v>
      </c>
      <c r="D60" s="8" t="s">
        <v>12</v>
      </c>
      <c r="E60" s="16">
        <v>1248.82</v>
      </c>
      <c r="F60" s="8">
        <v>2</v>
      </c>
      <c r="G60" s="9">
        <v>0.1</v>
      </c>
      <c r="H60" s="10">
        <v>45473</v>
      </c>
      <c r="I60" s="8">
        <v>449.58</v>
      </c>
    </row>
    <row r="61" spans="1:9" ht="15" thickBot="1" x14ac:dyDescent="0.35">
      <c r="A61" s="8" t="s">
        <v>13</v>
      </c>
      <c r="B61" s="8" t="s">
        <v>59</v>
      </c>
      <c r="C61" s="8" t="s">
        <v>11</v>
      </c>
      <c r="D61" s="8" t="s">
        <v>15</v>
      </c>
      <c r="E61" s="16">
        <v>1360.36</v>
      </c>
      <c r="F61" s="8">
        <v>17</v>
      </c>
      <c r="G61" s="9">
        <v>0</v>
      </c>
      <c r="H61" s="10">
        <v>45473</v>
      </c>
      <c r="I61" s="8">
        <v>680.18</v>
      </c>
    </row>
    <row r="62" spans="1:9" ht="15" thickBot="1" x14ac:dyDescent="0.35">
      <c r="A62" s="8" t="s">
        <v>57</v>
      </c>
      <c r="B62" s="8" t="s">
        <v>31</v>
      </c>
      <c r="C62" s="8" t="s">
        <v>18</v>
      </c>
      <c r="D62" s="8" t="s">
        <v>12</v>
      </c>
      <c r="E62" s="16">
        <v>1383.3</v>
      </c>
      <c r="F62" s="8">
        <v>8</v>
      </c>
      <c r="G62" s="9">
        <v>0.1</v>
      </c>
      <c r="H62" s="10">
        <v>45478</v>
      </c>
      <c r="I62" s="8">
        <v>497.99</v>
      </c>
    </row>
    <row r="63" spans="1:9" ht="15" hidden="1" thickBot="1" x14ac:dyDescent="0.35">
      <c r="A63" s="8" t="s">
        <v>35</v>
      </c>
      <c r="B63" s="8" t="s">
        <v>55</v>
      </c>
      <c r="C63" s="8" t="s">
        <v>34</v>
      </c>
      <c r="D63" s="8" t="s">
        <v>39</v>
      </c>
      <c r="E63" s="16">
        <v>488.99</v>
      </c>
      <c r="F63" s="8">
        <v>9</v>
      </c>
      <c r="G63" s="9">
        <v>0</v>
      </c>
      <c r="H63" s="10">
        <v>45479</v>
      </c>
      <c r="I63" s="8">
        <v>220.05</v>
      </c>
    </row>
    <row r="64" spans="1:9" ht="15" hidden="1" thickBot="1" x14ac:dyDescent="0.35">
      <c r="A64" s="8" t="s">
        <v>30</v>
      </c>
      <c r="B64" s="8" t="s">
        <v>31</v>
      </c>
      <c r="C64" s="8" t="s">
        <v>18</v>
      </c>
      <c r="D64" s="8" t="s">
        <v>27</v>
      </c>
      <c r="E64" s="16">
        <v>933.71</v>
      </c>
      <c r="F64" s="8">
        <v>17</v>
      </c>
      <c r="G64" s="9">
        <v>0.1</v>
      </c>
      <c r="H64" s="10">
        <v>45481</v>
      </c>
      <c r="I64" s="8">
        <v>294.12</v>
      </c>
    </row>
    <row r="65" spans="1:9" ht="15" thickBot="1" x14ac:dyDescent="0.35">
      <c r="A65" s="8" t="s">
        <v>67</v>
      </c>
      <c r="B65" s="8" t="s">
        <v>10</v>
      </c>
      <c r="C65" s="8" t="s">
        <v>11</v>
      </c>
      <c r="D65" s="8" t="s">
        <v>21</v>
      </c>
      <c r="E65" s="16">
        <v>1005.53</v>
      </c>
      <c r="F65" s="8">
        <v>17</v>
      </c>
      <c r="G65" s="9">
        <v>0.2</v>
      </c>
      <c r="H65" s="10">
        <v>45481</v>
      </c>
      <c r="I65" s="8">
        <v>201.11</v>
      </c>
    </row>
    <row r="66" spans="1:9" ht="15" thickBot="1" x14ac:dyDescent="0.35">
      <c r="A66" s="8" t="s">
        <v>41</v>
      </c>
      <c r="B66" s="8" t="s">
        <v>61</v>
      </c>
      <c r="C66" s="8" t="s">
        <v>20</v>
      </c>
      <c r="D66" s="8" t="s">
        <v>21</v>
      </c>
      <c r="E66" s="16">
        <v>1100.0999999999999</v>
      </c>
      <c r="F66" s="8">
        <v>5</v>
      </c>
      <c r="G66" s="9">
        <v>0.05</v>
      </c>
      <c r="H66" s="10">
        <v>45482</v>
      </c>
      <c r="I66" s="8">
        <v>261.27</v>
      </c>
    </row>
    <row r="67" spans="1:9" ht="15" thickBot="1" x14ac:dyDescent="0.35">
      <c r="A67" s="8" t="s">
        <v>67</v>
      </c>
      <c r="B67" s="8" t="s">
        <v>23</v>
      </c>
      <c r="C67" s="8" t="s">
        <v>24</v>
      </c>
      <c r="D67" s="8" t="s">
        <v>27</v>
      </c>
      <c r="E67" s="16">
        <v>1034.7</v>
      </c>
      <c r="F67" s="8">
        <v>15</v>
      </c>
      <c r="G67" s="9">
        <v>0.15</v>
      </c>
      <c r="H67" s="10">
        <v>45487</v>
      </c>
      <c r="I67" s="8">
        <v>307.82</v>
      </c>
    </row>
    <row r="68" spans="1:9" ht="15" hidden="1" thickBot="1" x14ac:dyDescent="0.35">
      <c r="A68" s="8" t="s">
        <v>65</v>
      </c>
      <c r="B68" s="8" t="s">
        <v>31</v>
      </c>
      <c r="C68" s="8" t="s">
        <v>20</v>
      </c>
      <c r="D68" s="8" t="s">
        <v>12</v>
      </c>
      <c r="E68" s="16">
        <v>876.44</v>
      </c>
      <c r="F68" s="8">
        <v>12</v>
      </c>
      <c r="G68" s="9">
        <v>0.05</v>
      </c>
      <c r="H68" s="10">
        <v>45488</v>
      </c>
      <c r="I68" s="8">
        <v>333.05</v>
      </c>
    </row>
    <row r="69" spans="1:9" ht="15" thickBot="1" x14ac:dyDescent="0.35">
      <c r="A69" s="8" t="s">
        <v>68</v>
      </c>
      <c r="B69" s="8" t="s">
        <v>55</v>
      </c>
      <c r="C69" s="8" t="s">
        <v>11</v>
      </c>
      <c r="D69" s="8" t="s">
        <v>27</v>
      </c>
      <c r="E69" s="16">
        <v>1371.34</v>
      </c>
      <c r="F69" s="8">
        <v>5</v>
      </c>
      <c r="G69" s="9">
        <v>0.05</v>
      </c>
      <c r="H69" s="10">
        <v>45488</v>
      </c>
      <c r="I69" s="8">
        <v>455.97</v>
      </c>
    </row>
    <row r="70" spans="1:9" ht="15" thickBot="1" x14ac:dyDescent="0.35">
      <c r="A70" s="8" t="s">
        <v>57</v>
      </c>
      <c r="B70" s="8" t="s">
        <v>47</v>
      </c>
      <c r="C70" s="8" t="s">
        <v>24</v>
      </c>
      <c r="D70" s="8" t="s">
        <v>21</v>
      </c>
      <c r="E70" s="16">
        <v>1020.26</v>
      </c>
      <c r="F70" s="8">
        <v>11</v>
      </c>
      <c r="G70" s="9">
        <v>0.05</v>
      </c>
      <c r="H70" s="10">
        <v>45494</v>
      </c>
      <c r="I70" s="8">
        <v>242.31</v>
      </c>
    </row>
    <row r="71" spans="1:9" ht="15" hidden="1" thickBot="1" x14ac:dyDescent="0.35">
      <c r="A71" s="8" t="s">
        <v>44</v>
      </c>
      <c r="B71" s="8" t="s">
        <v>10</v>
      </c>
      <c r="C71" s="8" t="s">
        <v>34</v>
      </c>
      <c r="D71" s="8" t="s">
        <v>39</v>
      </c>
      <c r="E71" s="16">
        <v>804.81</v>
      </c>
      <c r="F71" s="8">
        <v>1</v>
      </c>
      <c r="G71" s="9">
        <v>0.05</v>
      </c>
      <c r="H71" s="10">
        <v>45502</v>
      </c>
      <c r="I71" s="8">
        <v>344.06</v>
      </c>
    </row>
    <row r="72" spans="1:9" ht="15" hidden="1" thickBot="1" x14ac:dyDescent="0.35">
      <c r="A72" s="8" t="s">
        <v>22</v>
      </c>
      <c r="B72" s="8" t="s">
        <v>55</v>
      </c>
      <c r="C72" s="8" t="s">
        <v>34</v>
      </c>
      <c r="D72" s="8" t="s">
        <v>21</v>
      </c>
      <c r="E72" s="16">
        <v>608.66</v>
      </c>
      <c r="F72" s="8">
        <v>1</v>
      </c>
      <c r="G72" s="9">
        <v>0.05</v>
      </c>
      <c r="H72" s="10">
        <v>45503</v>
      </c>
      <c r="I72" s="8">
        <v>144.56</v>
      </c>
    </row>
    <row r="73" spans="1:9" ht="15" hidden="1" thickBot="1" x14ac:dyDescent="0.35">
      <c r="A73" s="8" t="s">
        <v>68</v>
      </c>
      <c r="B73" s="8" t="s">
        <v>69</v>
      </c>
      <c r="C73" s="8" t="s">
        <v>20</v>
      </c>
      <c r="D73" s="8" t="s">
        <v>39</v>
      </c>
      <c r="E73" s="16">
        <v>981.2</v>
      </c>
      <c r="F73" s="8">
        <v>19</v>
      </c>
      <c r="G73" s="9">
        <v>0</v>
      </c>
      <c r="H73" s="10">
        <v>45504</v>
      </c>
      <c r="I73" s="8">
        <v>441.54</v>
      </c>
    </row>
    <row r="74" spans="1:9" ht="15" hidden="1" thickBot="1" x14ac:dyDescent="0.35">
      <c r="A74" s="8" t="s">
        <v>70</v>
      </c>
      <c r="B74" s="8" t="s">
        <v>55</v>
      </c>
      <c r="C74" s="8" t="s">
        <v>18</v>
      </c>
      <c r="D74" s="8" t="s">
        <v>21</v>
      </c>
      <c r="E74" s="16">
        <v>539.77</v>
      </c>
      <c r="F74" s="8">
        <v>10</v>
      </c>
      <c r="G74" s="9">
        <v>0.15</v>
      </c>
      <c r="H74" s="10">
        <v>45509</v>
      </c>
      <c r="I74" s="8">
        <v>114.7</v>
      </c>
    </row>
    <row r="75" spans="1:9" ht="15" hidden="1" thickBot="1" x14ac:dyDescent="0.35">
      <c r="A75" s="8" t="s">
        <v>13</v>
      </c>
      <c r="B75" s="8" t="s">
        <v>71</v>
      </c>
      <c r="C75" s="8" t="s">
        <v>20</v>
      </c>
      <c r="D75" s="8" t="s">
        <v>12</v>
      </c>
      <c r="E75" s="16">
        <v>804.45</v>
      </c>
      <c r="F75" s="8">
        <v>5</v>
      </c>
      <c r="G75" s="9">
        <v>0.2</v>
      </c>
      <c r="H75" s="10">
        <v>45509</v>
      </c>
      <c r="I75" s="8">
        <v>257.42</v>
      </c>
    </row>
    <row r="76" spans="1:9" ht="15" thickBot="1" x14ac:dyDescent="0.35">
      <c r="A76" s="8" t="s">
        <v>70</v>
      </c>
      <c r="B76" s="8" t="s">
        <v>38</v>
      </c>
      <c r="C76" s="8" t="s">
        <v>11</v>
      </c>
      <c r="D76" s="8" t="s">
        <v>21</v>
      </c>
      <c r="E76" s="16">
        <v>1526.6</v>
      </c>
      <c r="F76" s="8">
        <v>13</v>
      </c>
      <c r="G76" s="9">
        <v>0.2</v>
      </c>
      <c r="H76" s="10">
        <v>45512</v>
      </c>
      <c r="I76" s="8">
        <v>305.32</v>
      </c>
    </row>
    <row r="77" spans="1:9" ht="15" thickBot="1" x14ac:dyDescent="0.35">
      <c r="A77" s="8" t="s">
        <v>13</v>
      </c>
      <c r="B77" s="8" t="s">
        <v>29</v>
      </c>
      <c r="C77" s="8" t="s">
        <v>11</v>
      </c>
      <c r="D77" s="8" t="s">
        <v>21</v>
      </c>
      <c r="E77" s="16">
        <v>1215.26</v>
      </c>
      <c r="F77" s="8">
        <v>5</v>
      </c>
      <c r="G77" s="9">
        <v>0.15</v>
      </c>
      <c r="H77" s="10">
        <v>45513</v>
      </c>
      <c r="I77" s="8">
        <v>258.24</v>
      </c>
    </row>
    <row r="78" spans="1:9" ht="15" thickBot="1" x14ac:dyDescent="0.35">
      <c r="A78" s="8" t="s">
        <v>19</v>
      </c>
      <c r="B78" s="8" t="s">
        <v>53</v>
      </c>
      <c r="C78" s="8" t="s">
        <v>34</v>
      </c>
      <c r="D78" s="8" t="s">
        <v>27</v>
      </c>
      <c r="E78" s="16">
        <v>1261.3399999999999</v>
      </c>
      <c r="F78" s="8">
        <v>3</v>
      </c>
      <c r="G78" s="9">
        <v>0</v>
      </c>
      <c r="H78" s="10">
        <v>45519</v>
      </c>
      <c r="I78" s="8">
        <v>441.47</v>
      </c>
    </row>
    <row r="79" spans="1:9" ht="15" hidden="1" thickBot="1" x14ac:dyDescent="0.35">
      <c r="A79" s="8" t="s">
        <v>72</v>
      </c>
      <c r="B79" s="8" t="s">
        <v>45</v>
      </c>
      <c r="C79" s="8" t="s">
        <v>24</v>
      </c>
      <c r="D79" s="8" t="s">
        <v>27</v>
      </c>
      <c r="E79" s="16">
        <v>518.07000000000005</v>
      </c>
      <c r="F79" s="8">
        <v>7</v>
      </c>
      <c r="G79" s="9">
        <v>0.05</v>
      </c>
      <c r="H79" s="10">
        <v>45522</v>
      </c>
      <c r="I79" s="8">
        <v>172.26</v>
      </c>
    </row>
    <row r="80" spans="1:9" ht="15" thickBot="1" x14ac:dyDescent="0.35">
      <c r="A80" s="8" t="s">
        <v>30</v>
      </c>
      <c r="B80" s="8" t="s">
        <v>29</v>
      </c>
      <c r="C80" s="8" t="s">
        <v>11</v>
      </c>
      <c r="D80" s="8" t="s">
        <v>39</v>
      </c>
      <c r="E80" s="16">
        <v>1111.3399999999999</v>
      </c>
      <c r="F80" s="8">
        <v>1</v>
      </c>
      <c r="G80" s="9">
        <v>0</v>
      </c>
      <c r="H80" s="10">
        <v>45523</v>
      </c>
      <c r="I80" s="8">
        <v>500.1</v>
      </c>
    </row>
    <row r="81" spans="1:9" ht="15" thickBot="1" x14ac:dyDescent="0.35">
      <c r="A81" s="8" t="s">
        <v>22</v>
      </c>
      <c r="B81" s="8" t="s">
        <v>31</v>
      </c>
      <c r="C81" s="8" t="s">
        <v>18</v>
      </c>
      <c r="D81" s="8" t="s">
        <v>15</v>
      </c>
      <c r="E81" s="16">
        <v>1291.47</v>
      </c>
      <c r="F81" s="8">
        <v>18</v>
      </c>
      <c r="G81" s="9">
        <v>0.1</v>
      </c>
      <c r="H81" s="10">
        <v>45526</v>
      </c>
      <c r="I81" s="8">
        <v>581.16</v>
      </c>
    </row>
    <row r="82" spans="1:9" ht="15" hidden="1" thickBot="1" x14ac:dyDescent="0.35">
      <c r="A82" s="8" t="s">
        <v>25</v>
      </c>
      <c r="B82" s="8" t="s">
        <v>55</v>
      </c>
      <c r="C82" s="8" t="s">
        <v>24</v>
      </c>
      <c r="D82" s="8" t="s">
        <v>12</v>
      </c>
      <c r="E82" s="16">
        <v>679.71</v>
      </c>
      <c r="F82" s="8">
        <v>19</v>
      </c>
      <c r="G82" s="9">
        <v>0</v>
      </c>
      <c r="H82" s="10">
        <v>45534</v>
      </c>
      <c r="I82" s="8">
        <v>271.88</v>
      </c>
    </row>
    <row r="83" spans="1:9" ht="15" thickBot="1" x14ac:dyDescent="0.35">
      <c r="A83" s="8" t="s">
        <v>68</v>
      </c>
      <c r="B83" s="8" t="s">
        <v>33</v>
      </c>
      <c r="C83" s="8" t="s">
        <v>18</v>
      </c>
      <c r="D83" s="8" t="s">
        <v>27</v>
      </c>
      <c r="E83" s="16">
        <v>1143.69</v>
      </c>
      <c r="F83" s="8">
        <v>17</v>
      </c>
      <c r="G83" s="9">
        <v>0</v>
      </c>
      <c r="H83" s="10">
        <v>45534</v>
      </c>
      <c r="I83" s="8">
        <v>400.29</v>
      </c>
    </row>
    <row r="84" spans="1:9" ht="15" hidden="1" thickBot="1" x14ac:dyDescent="0.35">
      <c r="A84" s="8" t="s">
        <v>52</v>
      </c>
      <c r="B84" s="8" t="s">
        <v>50</v>
      </c>
      <c r="C84" s="8" t="s">
        <v>34</v>
      </c>
      <c r="D84" s="8" t="s">
        <v>21</v>
      </c>
      <c r="E84" s="16">
        <v>790.08</v>
      </c>
      <c r="F84" s="8">
        <v>7</v>
      </c>
      <c r="G84" s="9">
        <v>0.1</v>
      </c>
      <c r="H84" s="10">
        <v>45536</v>
      </c>
      <c r="I84" s="8">
        <v>177.77</v>
      </c>
    </row>
    <row r="85" spans="1:9" ht="15" thickBot="1" x14ac:dyDescent="0.35">
      <c r="A85" s="8" t="s">
        <v>19</v>
      </c>
      <c r="B85" s="8" t="s">
        <v>48</v>
      </c>
      <c r="C85" s="8" t="s">
        <v>34</v>
      </c>
      <c r="D85" s="8" t="s">
        <v>12</v>
      </c>
      <c r="E85" s="16">
        <v>1070.68</v>
      </c>
      <c r="F85" s="8">
        <v>7</v>
      </c>
      <c r="G85" s="9">
        <v>0.05</v>
      </c>
      <c r="H85" s="10">
        <v>45536</v>
      </c>
      <c r="I85" s="8">
        <v>406.86</v>
      </c>
    </row>
    <row r="86" spans="1:9" ht="15" thickBot="1" x14ac:dyDescent="0.35">
      <c r="A86" s="8" t="s">
        <v>58</v>
      </c>
      <c r="B86" s="8" t="s">
        <v>36</v>
      </c>
      <c r="C86" s="8" t="s">
        <v>11</v>
      </c>
      <c r="D86" s="8" t="s">
        <v>15</v>
      </c>
      <c r="E86" s="16">
        <v>1168.8900000000001</v>
      </c>
      <c r="F86" s="8">
        <v>4</v>
      </c>
      <c r="G86" s="9">
        <v>0.1</v>
      </c>
      <c r="H86" s="10">
        <v>45544</v>
      </c>
      <c r="I86" s="8">
        <v>526</v>
      </c>
    </row>
    <row r="87" spans="1:9" ht="15" thickBot="1" x14ac:dyDescent="0.35">
      <c r="A87" s="8" t="s">
        <v>67</v>
      </c>
      <c r="B87" s="8" t="s">
        <v>10</v>
      </c>
      <c r="C87" s="8" t="s">
        <v>20</v>
      </c>
      <c r="D87" s="8" t="s">
        <v>21</v>
      </c>
      <c r="E87" s="16">
        <v>1335.87</v>
      </c>
      <c r="F87" s="8">
        <v>17</v>
      </c>
      <c r="G87" s="9">
        <v>0</v>
      </c>
      <c r="H87" s="10">
        <v>45544</v>
      </c>
      <c r="I87" s="8">
        <v>333.97</v>
      </c>
    </row>
    <row r="88" spans="1:9" ht="15" hidden="1" thickBot="1" x14ac:dyDescent="0.35">
      <c r="A88" s="8" t="s">
        <v>40</v>
      </c>
      <c r="B88" s="8" t="s">
        <v>55</v>
      </c>
      <c r="C88" s="8" t="s">
        <v>18</v>
      </c>
      <c r="D88" s="8" t="s">
        <v>27</v>
      </c>
      <c r="E88" s="16">
        <v>873.7</v>
      </c>
      <c r="F88" s="8">
        <v>9</v>
      </c>
      <c r="G88" s="9">
        <v>0</v>
      </c>
      <c r="H88" s="10">
        <v>45546</v>
      </c>
      <c r="I88" s="8">
        <v>305.8</v>
      </c>
    </row>
    <row r="89" spans="1:9" ht="15" thickBot="1" x14ac:dyDescent="0.35">
      <c r="A89" s="8" t="s">
        <v>72</v>
      </c>
      <c r="B89" s="8" t="s">
        <v>64</v>
      </c>
      <c r="C89" s="8" t="s">
        <v>11</v>
      </c>
      <c r="D89" s="8" t="s">
        <v>39</v>
      </c>
      <c r="E89" s="16">
        <v>1443.98</v>
      </c>
      <c r="F89" s="8">
        <v>19</v>
      </c>
      <c r="G89" s="9">
        <v>0</v>
      </c>
      <c r="H89" s="10">
        <v>45547</v>
      </c>
      <c r="I89" s="8">
        <v>649.79</v>
      </c>
    </row>
    <row r="90" spans="1:9" ht="15" thickBot="1" x14ac:dyDescent="0.35">
      <c r="A90" s="8" t="s">
        <v>40</v>
      </c>
      <c r="B90" s="8" t="s">
        <v>23</v>
      </c>
      <c r="C90" s="8" t="s">
        <v>18</v>
      </c>
      <c r="D90" s="8" t="s">
        <v>39</v>
      </c>
      <c r="E90" s="16">
        <v>1154.33</v>
      </c>
      <c r="F90" s="8">
        <v>11</v>
      </c>
      <c r="G90" s="9">
        <v>0.15</v>
      </c>
      <c r="H90" s="10">
        <v>45549</v>
      </c>
      <c r="I90" s="8">
        <v>441.53</v>
      </c>
    </row>
    <row r="91" spans="1:9" ht="15" thickBot="1" x14ac:dyDescent="0.35">
      <c r="A91" s="8" t="s">
        <v>49</v>
      </c>
      <c r="B91" s="8" t="s">
        <v>50</v>
      </c>
      <c r="C91" s="8" t="s">
        <v>20</v>
      </c>
      <c r="D91" s="8" t="s">
        <v>12</v>
      </c>
      <c r="E91" s="16">
        <v>1264.49</v>
      </c>
      <c r="F91" s="8">
        <v>16</v>
      </c>
      <c r="G91" s="9">
        <v>0.05</v>
      </c>
      <c r="H91" s="10">
        <v>45549</v>
      </c>
      <c r="I91" s="8">
        <v>480.51</v>
      </c>
    </row>
    <row r="92" spans="1:9" ht="15" thickBot="1" x14ac:dyDescent="0.35">
      <c r="A92" s="8" t="s">
        <v>25</v>
      </c>
      <c r="B92" s="8" t="s">
        <v>66</v>
      </c>
      <c r="C92" s="8" t="s">
        <v>11</v>
      </c>
      <c r="D92" s="8" t="s">
        <v>27</v>
      </c>
      <c r="E92" s="16">
        <v>1101.55</v>
      </c>
      <c r="F92" s="8">
        <v>4</v>
      </c>
      <c r="G92" s="9">
        <v>0.1</v>
      </c>
      <c r="H92" s="10">
        <v>45551</v>
      </c>
      <c r="I92" s="8">
        <v>346.99</v>
      </c>
    </row>
    <row r="93" spans="1:9" ht="15" hidden="1" thickBot="1" x14ac:dyDescent="0.35">
      <c r="A93" s="8" t="s">
        <v>73</v>
      </c>
      <c r="B93" s="8" t="s">
        <v>14</v>
      </c>
      <c r="C93" s="8" t="s">
        <v>20</v>
      </c>
      <c r="D93" s="8" t="s">
        <v>27</v>
      </c>
      <c r="E93" s="16">
        <v>727.73</v>
      </c>
      <c r="F93" s="8">
        <v>1</v>
      </c>
      <c r="G93" s="9">
        <v>0.1</v>
      </c>
      <c r="H93" s="10">
        <v>45552</v>
      </c>
      <c r="I93" s="8">
        <v>229.23</v>
      </c>
    </row>
    <row r="94" spans="1:9" ht="15" hidden="1" thickBot="1" x14ac:dyDescent="0.35">
      <c r="A94" s="8" t="s">
        <v>74</v>
      </c>
      <c r="B94" s="8" t="s">
        <v>38</v>
      </c>
      <c r="C94" s="8" t="s">
        <v>18</v>
      </c>
      <c r="D94" s="8" t="s">
        <v>39</v>
      </c>
      <c r="E94" s="16">
        <v>875.41</v>
      </c>
      <c r="F94" s="8">
        <v>13</v>
      </c>
      <c r="G94" s="9">
        <v>0.15</v>
      </c>
      <c r="H94" s="10">
        <v>45552</v>
      </c>
      <c r="I94" s="8">
        <v>334.84</v>
      </c>
    </row>
    <row r="95" spans="1:9" ht="15" thickBot="1" x14ac:dyDescent="0.35">
      <c r="A95" s="8" t="s">
        <v>67</v>
      </c>
      <c r="B95" s="8" t="s">
        <v>23</v>
      </c>
      <c r="C95" s="8" t="s">
        <v>11</v>
      </c>
      <c r="D95" s="8" t="s">
        <v>21</v>
      </c>
      <c r="E95" s="16">
        <v>1158.94</v>
      </c>
      <c r="F95" s="8">
        <v>19</v>
      </c>
      <c r="G95" s="9">
        <v>0.2</v>
      </c>
      <c r="H95" s="10">
        <v>45553</v>
      </c>
      <c r="I95" s="8">
        <v>231.79</v>
      </c>
    </row>
    <row r="96" spans="1:9" ht="15" hidden="1" thickBot="1" x14ac:dyDescent="0.35">
      <c r="A96" s="8" t="s">
        <v>75</v>
      </c>
      <c r="B96" s="8" t="s">
        <v>47</v>
      </c>
      <c r="C96" s="8" t="s">
        <v>20</v>
      </c>
      <c r="D96" s="8" t="s">
        <v>12</v>
      </c>
      <c r="E96" s="16">
        <v>966.3</v>
      </c>
      <c r="F96" s="8">
        <v>2</v>
      </c>
      <c r="G96" s="9">
        <v>0.15</v>
      </c>
      <c r="H96" s="10">
        <v>45557</v>
      </c>
      <c r="I96" s="8">
        <v>328.54</v>
      </c>
    </row>
    <row r="97" spans="1:9" ht="15" hidden="1" thickBot="1" x14ac:dyDescent="0.35">
      <c r="A97" s="8" t="s">
        <v>68</v>
      </c>
      <c r="B97" s="8" t="s">
        <v>17</v>
      </c>
      <c r="C97" s="8" t="s">
        <v>20</v>
      </c>
      <c r="D97" s="8" t="s">
        <v>12</v>
      </c>
      <c r="E97" s="16">
        <v>917.48</v>
      </c>
      <c r="F97" s="8">
        <v>6</v>
      </c>
      <c r="G97" s="9">
        <v>0</v>
      </c>
      <c r="H97" s="10">
        <v>45558</v>
      </c>
      <c r="I97" s="8">
        <v>366.99</v>
      </c>
    </row>
    <row r="98" spans="1:9" ht="15" thickBot="1" x14ac:dyDescent="0.35">
      <c r="A98" s="8" t="s">
        <v>41</v>
      </c>
      <c r="B98" s="8" t="s">
        <v>61</v>
      </c>
      <c r="C98" s="8" t="s">
        <v>11</v>
      </c>
      <c r="D98" s="8" t="s">
        <v>27</v>
      </c>
      <c r="E98" s="16">
        <v>1172.97</v>
      </c>
      <c r="F98" s="8">
        <v>7</v>
      </c>
      <c r="G98" s="9">
        <v>0.15</v>
      </c>
      <c r="H98" s="10">
        <v>45559</v>
      </c>
      <c r="I98" s="8">
        <v>348.96</v>
      </c>
    </row>
    <row r="99" spans="1:9" ht="15" thickBot="1" x14ac:dyDescent="0.35">
      <c r="A99" s="8" t="s">
        <v>57</v>
      </c>
      <c r="B99" s="8" t="s">
        <v>23</v>
      </c>
      <c r="C99" s="8" t="s">
        <v>24</v>
      </c>
      <c r="D99" s="8" t="s">
        <v>15</v>
      </c>
      <c r="E99" s="16">
        <v>1205.82</v>
      </c>
      <c r="F99" s="8">
        <v>11</v>
      </c>
      <c r="G99" s="9">
        <v>0.1</v>
      </c>
      <c r="H99" s="10">
        <v>45559</v>
      </c>
      <c r="I99" s="8">
        <v>542.62</v>
      </c>
    </row>
    <row r="100" spans="1:9" ht="15" hidden="1" thickBot="1" x14ac:dyDescent="0.35">
      <c r="A100" s="8" t="s">
        <v>16</v>
      </c>
      <c r="B100" s="8" t="s">
        <v>64</v>
      </c>
      <c r="C100" s="8" t="s">
        <v>11</v>
      </c>
      <c r="D100" s="8" t="s">
        <v>39</v>
      </c>
      <c r="E100" s="16">
        <v>826.93</v>
      </c>
      <c r="F100" s="8">
        <v>10</v>
      </c>
      <c r="G100" s="9">
        <v>0.2</v>
      </c>
      <c r="H100" s="10">
        <v>45564</v>
      </c>
      <c r="I100" s="8">
        <v>297.69</v>
      </c>
    </row>
    <row r="101" spans="1:9" ht="15" hidden="1" thickBot="1" x14ac:dyDescent="0.35">
      <c r="A101" s="8" t="s">
        <v>67</v>
      </c>
      <c r="B101" s="8" t="s">
        <v>23</v>
      </c>
      <c r="C101" s="8" t="s">
        <v>34</v>
      </c>
      <c r="D101" s="8" t="s">
        <v>15</v>
      </c>
      <c r="E101" s="16">
        <v>902.19</v>
      </c>
      <c r="F101" s="8">
        <v>12</v>
      </c>
      <c r="G101" s="9">
        <v>0</v>
      </c>
      <c r="H101" s="10">
        <v>45564</v>
      </c>
      <c r="I101" s="8">
        <v>451.1</v>
      </c>
    </row>
    <row r="102" spans="1:9" ht="15" hidden="1" thickBot="1" x14ac:dyDescent="0.35">
      <c r="A102" s="8" t="s">
        <v>74</v>
      </c>
      <c r="B102" s="8" t="s">
        <v>38</v>
      </c>
      <c r="C102" s="8" t="s">
        <v>24</v>
      </c>
      <c r="D102" s="8" t="s">
        <v>12</v>
      </c>
      <c r="E102" s="16">
        <v>585.97</v>
      </c>
      <c r="F102" s="8">
        <v>17</v>
      </c>
      <c r="G102" s="9">
        <v>0.1</v>
      </c>
      <c r="H102" s="10">
        <v>45565</v>
      </c>
      <c r="I102" s="8">
        <v>210.95</v>
      </c>
    </row>
    <row r="103" spans="1:9" ht="15" hidden="1" thickBot="1" x14ac:dyDescent="0.35">
      <c r="A103" s="8" t="s">
        <v>60</v>
      </c>
      <c r="B103" s="8" t="s">
        <v>26</v>
      </c>
      <c r="C103" s="8" t="s">
        <v>24</v>
      </c>
      <c r="D103" s="8" t="s">
        <v>15</v>
      </c>
      <c r="E103" s="16">
        <v>990.19</v>
      </c>
      <c r="F103" s="8">
        <v>8</v>
      </c>
      <c r="G103" s="9">
        <v>0.1</v>
      </c>
      <c r="H103" s="10">
        <v>45565</v>
      </c>
      <c r="I103" s="8">
        <v>445.59</v>
      </c>
    </row>
    <row r="104" spans="1:9" ht="15" thickBot="1" x14ac:dyDescent="0.35">
      <c r="A104" s="8" t="s">
        <v>44</v>
      </c>
      <c r="B104" s="8" t="s">
        <v>56</v>
      </c>
      <c r="C104" s="8" t="s">
        <v>34</v>
      </c>
      <c r="D104" s="8" t="s">
        <v>21</v>
      </c>
      <c r="E104" s="16">
        <v>1014.09</v>
      </c>
      <c r="F104" s="8">
        <v>13</v>
      </c>
      <c r="G104" s="9">
        <v>0.2</v>
      </c>
      <c r="H104" s="10">
        <v>45567</v>
      </c>
      <c r="I104" s="8">
        <v>202.82</v>
      </c>
    </row>
    <row r="105" spans="1:9" ht="15" hidden="1" thickBot="1" x14ac:dyDescent="0.35">
      <c r="A105" s="8" t="s">
        <v>13</v>
      </c>
      <c r="B105" s="8" t="s">
        <v>48</v>
      </c>
      <c r="C105" s="8" t="s">
        <v>24</v>
      </c>
      <c r="D105" s="8" t="s">
        <v>21</v>
      </c>
      <c r="E105" s="16">
        <v>925.29</v>
      </c>
      <c r="F105" s="8">
        <v>17</v>
      </c>
      <c r="G105" s="9">
        <v>0</v>
      </c>
      <c r="H105" s="10">
        <v>45570</v>
      </c>
      <c r="I105" s="8">
        <v>231.32</v>
      </c>
    </row>
    <row r="106" spans="1:9" ht="15" thickBot="1" x14ac:dyDescent="0.35">
      <c r="A106" s="8" t="s">
        <v>54</v>
      </c>
      <c r="B106" s="8" t="s">
        <v>47</v>
      </c>
      <c r="C106" s="8" t="s">
        <v>18</v>
      </c>
      <c r="D106" s="8" t="s">
        <v>27</v>
      </c>
      <c r="E106" s="16">
        <v>1286.54</v>
      </c>
      <c r="F106" s="8">
        <v>8</v>
      </c>
      <c r="G106" s="9">
        <v>0</v>
      </c>
      <c r="H106" s="10">
        <v>45575</v>
      </c>
      <c r="I106" s="8">
        <v>450.29</v>
      </c>
    </row>
    <row r="107" spans="1:9" ht="15" hidden="1" thickBot="1" x14ac:dyDescent="0.35">
      <c r="A107" s="8" t="s">
        <v>37</v>
      </c>
      <c r="B107" s="8" t="s">
        <v>64</v>
      </c>
      <c r="C107" s="8" t="s">
        <v>20</v>
      </c>
      <c r="D107" s="8" t="s">
        <v>12</v>
      </c>
      <c r="E107" s="16">
        <v>961.62</v>
      </c>
      <c r="F107" s="8">
        <v>8</v>
      </c>
      <c r="G107" s="9">
        <v>0.2</v>
      </c>
      <c r="H107" s="10">
        <v>45577</v>
      </c>
      <c r="I107" s="8">
        <v>307.72000000000003</v>
      </c>
    </row>
    <row r="108" spans="1:9" ht="15" thickBot="1" x14ac:dyDescent="0.35">
      <c r="A108" s="8" t="s">
        <v>44</v>
      </c>
      <c r="B108" s="8" t="s">
        <v>23</v>
      </c>
      <c r="C108" s="8" t="s">
        <v>18</v>
      </c>
      <c r="D108" s="8" t="s">
        <v>12</v>
      </c>
      <c r="E108" s="16">
        <v>1081.1400000000001</v>
      </c>
      <c r="F108" s="8">
        <v>19</v>
      </c>
      <c r="G108" s="9">
        <v>0.15</v>
      </c>
      <c r="H108" s="10">
        <v>45577</v>
      </c>
      <c r="I108" s="8">
        <v>367.59</v>
      </c>
    </row>
    <row r="109" spans="1:9" ht="15" thickBot="1" x14ac:dyDescent="0.35">
      <c r="A109" s="8" t="s">
        <v>58</v>
      </c>
      <c r="B109" s="8" t="s">
        <v>23</v>
      </c>
      <c r="C109" s="8" t="s">
        <v>11</v>
      </c>
      <c r="D109" s="8" t="s">
        <v>15</v>
      </c>
      <c r="E109" s="16">
        <v>1923.66</v>
      </c>
      <c r="F109" s="8">
        <v>9</v>
      </c>
      <c r="G109" s="9">
        <v>0.2</v>
      </c>
      <c r="H109" s="10">
        <v>45580</v>
      </c>
      <c r="I109" s="8">
        <v>769.46</v>
      </c>
    </row>
    <row r="110" spans="1:9" ht="15" hidden="1" thickBot="1" x14ac:dyDescent="0.35">
      <c r="A110" s="8" t="s">
        <v>54</v>
      </c>
      <c r="B110" s="8" t="s">
        <v>66</v>
      </c>
      <c r="C110" s="8" t="s">
        <v>34</v>
      </c>
      <c r="D110" s="8" t="s">
        <v>15</v>
      </c>
      <c r="E110" s="16">
        <v>728.71</v>
      </c>
      <c r="F110" s="8">
        <v>14</v>
      </c>
      <c r="G110" s="9">
        <v>0.1</v>
      </c>
      <c r="H110" s="10">
        <v>45581</v>
      </c>
      <c r="I110" s="8">
        <v>327.92</v>
      </c>
    </row>
    <row r="111" spans="1:9" ht="15" thickBot="1" x14ac:dyDescent="0.35">
      <c r="A111" s="8" t="s">
        <v>9</v>
      </c>
      <c r="B111" s="8" t="s">
        <v>33</v>
      </c>
      <c r="C111" s="8" t="s">
        <v>34</v>
      </c>
      <c r="D111" s="8" t="s">
        <v>15</v>
      </c>
      <c r="E111" s="16">
        <v>1301.8900000000001</v>
      </c>
      <c r="F111" s="8">
        <v>7</v>
      </c>
      <c r="G111" s="9">
        <v>0.15</v>
      </c>
      <c r="H111" s="10">
        <v>45581</v>
      </c>
      <c r="I111" s="8">
        <v>553.29999999999995</v>
      </c>
    </row>
    <row r="112" spans="1:9" ht="15" hidden="1" thickBot="1" x14ac:dyDescent="0.35">
      <c r="A112" s="8" t="s">
        <v>70</v>
      </c>
      <c r="B112" s="8" t="s">
        <v>66</v>
      </c>
      <c r="C112" s="8" t="s">
        <v>18</v>
      </c>
      <c r="D112" s="8" t="s">
        <v>12</v>
      </c>
      <c r="E112" s="16">
        <v>980.18</v>
      </c>
      <c r="F112" s="8">
        <v>16</v>
      </c>
      <c r="G112" s="9">
        <v>0.1</v>
      </c>
      <c r="H112" s="10">
        <v>45582</v>
      </c>
      <c r="I112" s="8">
        <v>352.86</v>
      </c>
    </row>
    <row r="113" spans="1:9" ht="15" hidden="1" thickBot="1" x14ac:dyDescent="0.35">
      <c r="A113" s="8" t="s">
        <v>74</v>
      </c>
      <c r="B113" s="8" t="s">
        <v>23</v>
      </c>
      <c r="C113" s="8" t="s">
        <v>11</v>
      </c>
      <c r="D113" s="8" t="s">
        <v>15</v>
      </c>
      <c r="E113" s="16">
        <v>697.57</v>
      </c>
      <c r="F113" s="8">
        <v>17</v>
      </c>
      <c r="G113" s="9">
        <v>0.1</v>
      </c>
      <c r="H113" s="10">
        <v>45584</v>
      </c>
      <c r="I113" s="8">
        <v>313.91000000000003</v>
      </c>
    </row>
    <row r="114" spans="1:9" ht="15" thickBot="1" x14ac:dyDescent="0.35">
      <c r="A114" s="8" t="s">
        <v>46</v>
      </c>
      <c r="B114" s="8" t="s">
        <v>71</v>
      </c>
      <c r="C114" s="8" t="s">
        <v>11</v>
      </c>
      <c r="D114" s="8" t="s">
        <v>27</v>
      </c>
      <c r="E114" s="16">
        <v>1193.6099999999999</v>
      </c>
      <c r="F114" s="8">
        <v>1</v>
      </c>
      <c r="G114" s="9">
        <v>0.15</v>
      </c>
      <c r="H114" s="10">
        <v>45584</v>
      </c>
      <c r="I114" s="8">
        <v>355.1</v>
      </c>
    </row>
    <row r="115" spans="1:9" ht="15" hidden="1" thickBot="1" x14ac:dyDescent="0.35">
      <c r="A115" s="8" t="s">
        <v>32</v>
      </c>
      <c r="B115" s="8" t="s">
        <v>38</v>
      </c>
      <c r="C115" s="8" t="s">
        <v>20</v>
      </c>
      <c r="D115" s="8" t="s">
        <v>21</v>
      </c>
      <c r="E115" s="16">
        <v>771.02</v>
      </c>
      <c r="F115" s="8">
        <v>1</v>
      </c>
      <c r="G115" s="9">
        <v>0</v>
      </c>
      <c r="H115" s="10">
        <v>45585</v>
      </c>
      <c r="I115" s="8">
        <v>192.76</v>
      </c>
    </row>
    <row r="116" spans="1:9" ht="15" hidden="1" thickBot="1" x14ac:dyDescent="0.35">
      <c r="A116" s="8" t="s">
        <v>67</v>
      </c>
      <c r="B116" s="8" t="s">
        <v>69</v>
      </c>
      <c r="C116" s="8" t="s">
        <v>24</v>
      </c>
      <c r="D116" s="8" t="s">
        <v>15</v>
      </c>
      <c r="E116" s="16">
        <v>661.09</v>
      </c>
      <c r="F116" s="8">
        <v>1</v>
      </c>
      <c r="G116" s="9">
        <v>0.2</v>
      </c>
      <c r="H116" s="10">
        <v>45593</v>
      </c>
      <c r="I116" s="8">
        <v>264.44</v>
      </c>
    </row>
    <row r="117" spans="1:9" ht="15" hidden="1" thickBot="1" x14ac:dyDescent="0.35">
      <c r="A117" s="8" t="s">
        <v>13</v>
      </c>
      <c r="B117" s="8" t="s">
        <v>55</v>
      </c>
      <c r="C117" s="8" t="s">
        <v>11</v>
      </c>
      <c r="D117" s="8" t="s">
        <v>21</v>
      </c>
      <c r="E117" s="16">
        <v>688.83</v>
      </c>
      <c r="F117" s="8">
        <v>15</v>
      </c>
      <c r="G117" s="9">
        <v>0</v>
      </c>
      <c r="H117" s="10">
        <v>45595</v>
      </c>
      <c r="I117" s="8">
        <v>172.21</v>
      </c>
    </row>
    <row r="118" spans="1:9" ht="15" thickBot="1" x14ac:dyDescent="0.35">
      <c r="A118" s="8" t="s">
        <v>73</v>
      </c>
      <c r="B118" s="8" t="s">
        <v>29</v>
      </c>
      <c r="C118" s="8" t="s">
        <v>34</v>
      </c>
      <c r="D118" s="8" t="s">
        <v>12</v>
      </c>
      <c r="E118" s="16">
        <v>1249.0999999999999</v>
      </c>
      <c r="F118" s="8">
        <v>4</v>
      </c>
      <c r="G118" s="9">
        <v>0.05</v>
      </c>
      <c r="H118" s="10">
        <v>45597</v>
      </c>
      <c r="I118" s="8">
        <v>474.66</v>
      </c>
    </row>
    <row r="119" spans="1:9" ht="15" thickBot="1" x14ac:dyDescent="0.35">
      <c r="A119" s="8" t="s">
        <v>44</v>
      </c>
      <c r="B119" s="8" t="s">
        <v>23</v>
      </c>
      <c r="C119" s="8" t="s">
        <v>18</v>
      </c>
      <c r="D119" s="8" t="s">
        <v>39</v>
      </c>
      <c r="E119" s="16">
        <v>1014.22</v>
      </c>
      <c r="F119" s="8">
        <v>14</v>
      </c>
      <c r="G119" s="9">
        <v>0.05</v>
      </c>
      <c r="H119" s="10">
        <v>45599</v>
      </c>
      <c r="I119" s="8">
        <v>433.58</v>
      </c>
    </row>
    <row r="120" spans="1:9" ht="15" thickBot="1" x14ac:dyDescent="0.35">
      <c r="A120" s="8" t="s">
        <v>54</v>
      </c>
      <c r="B120" s="8" t="s">
        <v>48</v>
      </c>
      <c r="C120" s="8" t="s">
        <v>18</v>
      </c>
      <c r="D120" s="8" t="s">
        <v>12</v>
      </c>
      <c r="E120" s="16">
        <v>1010.58</v>
      </c>
      <c r="F120" s="8">
        <v>2</v>
      </c>
      <c r="G120" s="9">
        <v>0.15</v>
      </c>
      <c r="H120" s="10">
        <v>45605</v>
      </c>
      <c r="I120" s="8">
        <v>343.6</v>
      </c>
    </row>
    <row r="121" spans="1:9" ht="15" hidden="1" thickBot="1" x14ac:dyDescent="0.35">
      <c r="A121" s="8" t="s">
        <v>30</v>
      </c>
      <c r="B121" s="8" t="s">
        <v>59</v>
      </c>
      <c r="C121" s="8" t="s">
        <v>24</v>
      </c>
      <c r="D121" s="8" t="s">
        <v>27</v>
      </c>
      <c r="E121" s="16">
        <v>957.29</v>
      </c>
      <c r="F121" s="8">
        <v>4</v>
      </c>
      <c r="G121" s="9">
        <v>0.05</v>
      </c>
      <c r="H121" s="10">
        <v>45605</v>
      </c>
      <c r="I121" s="8">
        <v>318.3</v>
      </c>
    </row>
    <row r="122" spans="1:9" ht="15" thickBot="1" x14ac:dyDescent="0.35">
      <c r="A122" s="8" t="s">
        <v>28</v>
      </c>
      <c r="B122" s="8" t="s">
        <v>45</v>
      </c>
      <c r="C122" s="8" t="s">
        <v>24</v>
      </c>
      <c r="D122" s="8" t="s">
        <v>27</v>
      </c>
      <c r="E122" s="16">
        <v>1077.92</v>
      </c>
      <c r="F122" s="8">
        <v>3</v>
      </c>
      <c r="G122" s="9">
        <v>0.05</v>
      </c>
      <c r="H122" s="10">
        <v>45608</v>
      </c>
      <c r="I122" s="8">
        <v>358.41</v>
      </c>
    </row>
    <row r="123" spans="1:9" ht="15" thickBot="1" x14ac:dyDescent="0.35">
      <c r="A123" s="8" t="s">
        <v>52</v>
      </c>
      <c r="B123" s="8" t="s">
        <v>50</v>
      </c>
      <c r="C123" s="8" t="s">
        <v>20</v>
      </c>
      <c r="D123" s="8" t="s">
        <v>15</v>
      </c>
      <c r="E123" s="16">
        <v>1163.01</v>
      </c>
      <c r="F123" s="8">
        <v>5</v>
      </c>
      <c r="G123" s="9">
        <v>0</v>
      </c>
      <c r="H123" s="10">
        <v>45611</v>
      </c>
      <c r="I123" s="8">
        <v>581.5</v>
      </c>
    </row>
    <row r="124" spans="1:9" ht="15" thickBot="1" x14ac:dyDescent="0.35">
      <c r="A124" s="8" t="s">
        <v>54</v>
      </c>
      <c r="B124" s="8" t="s">
        <v>45</v>
      </c>
      <c r="C124" s="8" t="s">
        <v>18</v>
      </c>
      <c r="D124" s="8" t="s">
        <v>39</v>
      </c>
      <c r="E124" s="16">
        <v>1014.56</v>
      </c>
      <c r="F124" s="8">
        <v>10</v>
      </c>
      <c r="G124" s="9">
        <v>0.1</v>
      </c>
      <c r="H124" s="10">
        <v>45612</v>
      </c>
      <c r="I124" s="8">
        <v>410.9</v>
      </c>
    </row>
    <row r="125" spans="1:9" ht="15" hidden="1" thickBot="1" x14ac:dyDescent="0.35">
      <c r="A125" s="8" t="s">
        <v>9</v>
      </c>
      <c r="B125" s="8" t="s">
        <v>17</v>
      </c>
      <c r="C125" s="8" t="s">
        <v>20</v>
      </c>
      <c r="D125" s="8" t="s">
        <v>21</v>
      </c>
      <c r="E125" s="16">
        <v>718.04</v>
      </c>
      <c r="F125" s="8">
        <v>14</v>
      </c>
      <c r="G125" s="9">
        <v>0</v>
      </c>
      <c r="H125" s="10">
        <v>45613</v>
      </c>
      <c r="I125" s="8">
        <v>179.51</v>
      </c>
    </row>
    <row r="126" spans="1:9" ht="15" thickBot="1" x14ac:dyDescent="0.35">
      <c r="A126" s="8" t="s">
        <v>72</v>
      </c>
      <c r="B126" s="8" t="s">
        <v>17</v>
      </c>
      <c r="C126" s="8" t="s">
        <v>34</v>
      </c>
      <c r="D126" s="8" t="s">
        <v>15</v>
      </c>
      <c r="E126" s="16">
        <v>1277.8499999999999</v>
      </c>
      <c r="F126" s="8">
        <v>18</v>
      </c>
      <c r="G126" s="9">
        <v>0.2</v>
      </c>
      <c r="H126" s="10">
        <v>45613</v>
      </c>
      <c r="I126" s="8">
        <v>511.14</v>
      </c>
    </row>
    <row r="127" spans="1:9" ht="15" hidden="1" thickBot="1" x14ac:dyDescent="0.35">
      <c r="A127" s="8" t="s">
        <v>70</v>
      </c>
      <c r="B127" s="8" t="s">
        <v>23</v>
      </c>
      <c r="C127" s="8" t="s">
        <v>24</v>
      </c>
      <c r="D127" s="8" t="s">
        <v>21</v>
      </c>
      <c r="E127" s="16">
        <v>706.73</v>
      </c>
      <c r="F127" s="8">
        <v>1</v>
      </c>
      <c r="G127" s="9">
        <v>0.15</v>
      </c>
      <c r="H127" s="10">
        <v>45613</v>
      </c>
      <c r="I127" s="8">
        <v>150.18</v>
      </c>
    </row>
    <row r="128" spans="1:9" ht="15" thickBot="1" x14ac:dyDescent="0.35">
      <c r="A128" s="8" t="s">
        <v>65</v>
      </c>
      <c r="B128" s="8" t="s">
        <v>50</v>
      </c>
      <c r="C128" s="8" t="s">
        <v>18</v>
      </c>
      <c r="D128" s="8" t="s">
        <v>21</v>
      </c>
      <c r="E128" s="16">
        <v>1410.59</v>
      </c>
      <c r="F128" s="8">
        <v>15</v>
      </c>
      <c r="G128" s="9">
        <v>0</v>
      </c>
      <c r="H128" s="10">
        <v>45615</v>
      </c>
      <c r="I128" s="8">
        <v>352.65</v>
      </c>
    </row>
    <row r="129" spans="1:9" ht="15" thickBot="1" x14ac:dyDescent="0.35">
      <c r="A129" s="8" t="s">
        <v>32</v>
      </c>
      <c r="B129" s="8" t="s">
        <v>61</v>
      </c>
      <c r="C129" s="8" t="s">
        <v>20</v>
      </c>
      <c r="D129" s="8" t="s">
        <v>27</v>
      </c>
      <c r="E129" s="16">
        <v>1350.33</v>
      </c>
      <c r="F129" s="8">
        <v>10</v>
      </c>
      <c r="G129" s="9">
        <v>0</v>
      </c>
      <c r="H129" s="10">
        <v>45615</v>
      </c>
      <c r="I129" s="8">
        <v>472.62</v>
      </c>
    </row>
    <row r="130" spans="1:9" ht="15" hidden="1" thickBot="1" x14ac:dyDescent="0.35">
      <c r="A130" s="8" t="s">
        <v>41</v>
      </c>
      <c r="B130" s="8" t="s">
        <v>45</v>
      </c>
      <c r="C130" s="8" t="s">
        <v>18</v>
      </c>
      <c r="D130" s="8" t="s">
        <v>21</v>
      </c>
      <c r="E130" s="16">
        <v>919.18</v>
      </c>
      <c r="F130" s="8">
        <v>4</v>
      </c>
      <c r="G130" s="9">
        <v>0.15</v>
      </c>
      <c r="H130" s="10">
        <v>45615</v>
      </c>
      <c r="I130" s="8">
        <v>195.33</v>
      </c>
    </row>
    <row r="131" spans="1:9" ht="15" hidden="1" thickBot="1" x14ac:dyDescent="0.35">
      <c r="A131" s="8" t="s">
        <v>74</v>
      </c>
      <c r="B131" s="8" t="s">
        <v>23</v>
      </c>
      <c r="C131" s="8" t="s">
        <v>11</v>
      </c>
      <c r="D131" s="8" t="s">
        <v>21</v>
      </c>
      <c r="E131" s="16">
        <v>258.51</v>
      </c>
      <c r="F131" s="8">
        <v>19</v>
      </c>
      <c r="G131" s="9">
        <v>0</v>
      </c>
      <c r="H131" s="10">
        <v>45616</v>
      </c>
      <c r="I131" s="8">
        <v>64.63</v>
      </c>
    </row>
    <row r="132" spans="1:9" ht="15" thickBot="1" x14ac:dyDescent="0.35">
      <c r="A132" s="8" t="s">
        <v>63</v>
      </c>
      <c r="B132" s="8" t="s">
        <v>61</v>
      </c>
      <c r="C132" s="8" t="s">
        <v>18</v>
      </c>
      <c r="D132" s="8" t="s">
        <v>12</v>
      </c>
      <c r="E132" s="16">
        <v>1213.48</v>
      </c>
      <c r="F132" s="8">
        <v>5</v>
      </c>
      <c r="G132" s="9">
        <v>0.05</v>
      </c>
      <c r="H132" s="10">
        <v>45616</v>
      </c>
      <c r="I132" s="8">
        <v>461.12</v>
      </c>
    </row>
    <row r="133" spans="1:9" ht="15" thickBot="1" x14ac:dyDescent="0.35">
      <c r="A133" s="8" t="s">
        <v>57</v>
      </c>
      <c r="B133" s="8" t="s">
        <v>38</v>
      </c>
      <c r="C133" s="8" t="s">
        <v>34</v>
      </c>
      <c r="D133" s="8" t="s">
        <v>12</v>
      </c>
      <c r="E133" s="16">
        <v>1150.28</v>
      </c>
      <c r="F133" s="8">
        <v>8</v>
      </c>
      <c r="G133" s="9">
        <v>0.05</v>
      </c>
      <c r="H133" s="10">
        <v>45622</v>
      </c>
      <c r="I133" s="8">
        <v>437.11</v>
      </c>
    </row>
    <row r="134" spans="1:9" ht="15" hidden="1" thickBot="1" x14ac:dyDescent="0.35">
      <c r="A134" s="8" t="s">
        <v>37</v>
      </c>
      <c r="B134" s="8" t="s">
        <v>71</v>
      </c>
      <c r="C134" s="8" t="s">
        <v>20</v>
      </c>
      <c r="D134" s="8" t="s">
        <v>27</v>
      </c>
      <c r="E134" s="16">
        <v>853.86</v>
      </c>
      <c r="F134" s="8">
        <v>8</v>
      </c>
      <c r="G134" s="9">
        <v>0.1</v>
      </c>
      <c r="H134" s="10">
        <v>45622</v>
      </c>
      <c r="I134" s="8">
        <v>268.97000000000003</v>
      </c>
    </row>
    <row r="135" spans="1:9" ht="15" thickBot="1" x14ac:dyDescent="0.35">
      <c r="A135" s="8" t="s">
        <v>75</v>
      </c>
      <c r="B135" s="8" t="s">
        <v>45</v>
      </c>
      <c r="C135" s="8" t="s">
        <v>20</v>
      </c>
      <c r="D135" s="8" t="s">
        <v>21</v>
      </c>
      <c r="E135" s="16">
        <v>1061.04</v>
      </c>
      <c r="F135" s="8">
        <v>1</v>
      </c>
      <c r="G135" s="9">
        <v>0</v>
      </c>
      <c r="H135" s="10">
        <v>45624</v>
      </c>
      <c r="I135" s="8">
        <v>265.26</v>
      </c>
    </row>
    <row r="136" spans="1:9" ht="15" hidden="1" thickBot="1" x14ac:dyDescent="0.35">
      <c r="A136" s="8" t="s">
        <v>28</v>
      </c>
      <c r="B136" s="8" t="s">
        <v>43</v>
      </c>
      <c r="C136" s="8" t="s">
        <v>11</v>
      </c>
      <c r="D136" s="8" t="s">
        <v>21</v>
      </c>
      <c r="E136" s="16">
        <v>894.55</v>
      </c>
      <c r="F136" s="8">
        <v>19</v>
      </c>
      <c r="G136" s="9">
        <v>0.2</v>
      </c>
      <c r="H136" s="10">
        <v>45625</v>
      </c>
      <c r="I136" s="8">
        <v>178.91</v>
      </c>
    </row>
    <row r="137" spans="1:9" ht="15" hidden="1" thickBot="1" x14ac:dyDescent="0.35">
      <c r="A137" s="8" t="s">
        <v>25</v>
      </c>
      <c r="B137" s="8" t="s">
        <v>38</v>
      </c>
      <c r="C137" s="8" t="s">
        <v>24</v>
      </c>
      <c r="D137" s="8" t="s">
        <v>39</v>
      </c>
      <c r="E137" s="16">
        <v>833.91</v>
      </c>
      <c r="F137" s="8">
        <v>3</v>
      </c>
      <c r="G137" s="9">
        <v>0.05</v>
      </c>
      <c r="H137" s="10">
        <v>45626</v>
      </c>
      <c r="I137" s="8">
        <v>356.5</v>
      </c>
    </row>
    <row r="138" spans="1:9" ht="15" hidden="1" thickBot="1" x14ac:dyDescent="0.35">
      <c r="A138" s="8" t="s">
        <v>58</v>
      </c>
      <c r="B138" s="8" t="s">
        <v>71</v>
      </c>
      <c r="C138" s="8" t="s">
        <v>11</v>
      </c>
      <c r="D138" s="8" t="s">
        <v>27</v>
      </c>
      <c r="E138" s="16">
        <v>820.19</v>
      </c>
      <c r="F138" s="8">
        <v>4</v>
      </c>
      <c r="G138" s="9">
        <v>0.2</v>
      </c>
      <c r="H138" s="10">
        <v>45630</v>
      </c>
      <c r="I138" s="8">
        <v>229.65</v>
      </c>
    </row>
    <row r="139" spans="1:9" ht="15" hidden="1" thickBot="1" x14ac:dyDescent="0.35">
      <c r="A139" s="8" t="s">
        <v>58</v>
      </c>
      <c r="B139" s="8" t="s">
        <v>38</v>
      </c>
      <c r="C139" s="8" t="s">
        <v>34</v>
      </c>
      <c r="D139" s="8" t="s">
        <v>21</v>
      </c>
      <c r="E139" s="16">
        <v>511.74</v>
      </c>
      <c r="F139" s="8">
        <v>8</v>
      </c>
      <c r="G139" s="9">
        <v>0.05</v>
      </c>
      <c r="H139" s="10">
        <v>45631</v>
      </c>
      <c r="I139" s="8">
        <v>121.54</v>
      </c>
    </row>
    <row r="140" spans="1:9" ht="15" hidden="1" thickBot="1" x14ac:dyDescent="0.35">
      <c r="A140" s="8" t="s">
        <v>65</v>
      </c>
      <c r="B140" s="8" t="s">
        <v>61</v>
      </c>
      <c r="C140" s="8" t="s">
        <v>20</v>
      </c>
      <c r="D140" s="8" t="s">
        <v>27</v>
      </c>
      <c r="E140" s="16">
        <v>806.03</v>
      </c>
      <c r="F140" s="8">
        <v>19</v>
      </c>
      <c r="G140" s="9">
        <v>0.05</v>
      </c>
      <c r="H140" s="10">
        <v>45638</v>
      </c>
      <c r="I140" s="8">
        <v>268</v>
      </c>
    </row>
    <row r="141" spans="1:9" ht="15" thickBot="1" x14ac:dyDescent="0.35">
      <c r="A141" s="8" t="s">
        <v>28</v>
      </c>
      <c r="B141" s="8" t="s">
        <v>26</v>
      </c>
      <c r="C141" s="8" t="s">
        <v>34</v>
      </c>
      <c r="D141" s="8" t="s">
        <v>27</v>
      </c>
      <c r="E141" s="16">
        <v>1432.47</v>
      </c>
      <c r="F141" s="8">
        <v>16</v>
      </c>
      <c r="G141" s="9">
        <v>0.15</v>
      </c>
      <c r="H141" s="10">
        <v>45640</v>
      </c>
      <c r="I141" s="8">
        <v>426.16</v>
      </c>
    </row>
    <row r="142" spans="1:9" ht="15" thickBot="1" x14ac:dyDescent="0.35">
      <c r="A142" s="8" t="s">
        <v>74</v>
      </c>
      <c r="B142" s="8" t="s">
        <v>29</v>
      </c>
      <c r="C142" s="8" t="s">
        <v>34</v>
      </c>
      <c r="D142" s="8" t="s">
        <v>21</v>
      </c>
      <c r="E142" s="16">
        <v>1488.58</v>
      </c>
      <c r="F142" s="8">
        <v>10</v>
      </c>
      <c r="G142" s="9">
        <v>0.15</v>
      </c>
      <c r="H142" s="10">
        <v>45640</v>
      </c>
      <c r="I142" s="8">
        <v>316.32</v>
      </c>
    </row>
    <row r="143" spans="1:9" ht="15" thickBot="1" x14ac:dyDescent="0.35">
      <c r="A143" s="8" t="s">
        <v>30</v>
      </c>
      <c r="B143" s="8" t="s">
        <v>66</v>
      </c>
      <c r="C143" s="8" t="s">
        <v>18</v>
      </c>
      <c r="D143" s="8" t="s">
        <v>12</v>
      </c>
      <c r="E143" s="16">
        <v>1231.26</v>
      </c>
      <c r="F143" s="8">
        <v>9</v>
      </c>
      <c r="G143" s="9">
        <v>0</v>
      </c>
      <c r="H143" s="10">
        <v>45646</v>
      </c>
      <c r="I143" s="8">
        <v>492.5</v>
      </c>
    </row>
    <row r="144" spans="1:9" ht="15" thickBot="1" x14ac:dyDescent="0.35">
      <c r="A144" s="8" t="s">
        <v>30</v>
      </c>
      <c r="B144" s="8" t="s">
        <v>43</v>
      </c>
      <c r="C144" s="8" t="s">
        <v>11</v>
      </c>
      <c r="D144" s="8" t="s">
        <v>21</v>
      </c>
      <c r="E144" s="16">
        <v>1161.67</v>
      </c>
      <c r="F144" s="8">
        <v>19</v>
      </c>
      <c r="G144" s="9">
        <v>0.2</v>
      </c>
      <c r="H144" s="10">
        <v>45647</v>
      </c>
      <c r="I144" s="8">
        <v>232.33</v>
      </c>
    </row>
    <row r="145" spans="1:9" ht="15" hidden="1" thickBot="1" x14ac:dyDescent="0.35">
      <c r="A145" s="8" t="s">
        <v>49</v>
      </c>
      <c r="B145" s="8" t="s">
        <v>45</v>
      </c>
      <c r="C145" s="8" t="s">
        <v>34</v>
      </c>
      <c r="D145" s="8" t="s">
        <v>39</v>
      </c>
      <c r="E145" s="16">
        <v>388.23</v>
      </c>
      <c r="F145" s="8">
        <v>16</v>
      </c>
      <c r="G145" s="9">
        <v>0.05</v>
      </c>
      <c r="H145" s="10">
        <v>45650</v>
      </c>
      <c r="I145" s="8">
        <v>165.97</v>
      </c>
    </row>
    <row r="146" spans="1:9" ht="15" thickBot="1" x14ac:dyDescent="0.35">
      <c r="A146" s="8" t="s">
        <v>72</v>
      </c>
      <c r="B146" s="8" t="s">
        <v>31</v>
      </c>
      <c r="C146" s="8" t="s">
        <v>24</v>
      </c>
      <c r="D146" s="8" t="s">
        <v>15</v>
      </c>
      <c r="E146" s="16">
        <v>1589.42</v>
      </c>
      <c r="F146" s="8">
        <v>6</v>
      </c>
      <c r="G146" s="9">
        <v>0.15</v>
      </c>
      <c r="H146" s="10">
        <v>45651</v>
      </c>
      <c r="I146" s="8">
        <v>675.5</v>
      </c>
    </row>
    <row r="147" spans="1:9" ht="15" hidden="1" thickBot="1" x14ac:dyDescent="0.35">
      <c r="A147" s="8" t="s">
        <v>28</v>
      </c>
      <c r="B147" s="8" t="s">
        <v>71</v>
      </c>
      <c r="C147" s="8" t="s">
        <v>24</v>
      </c>
      <c r="D147" s="8" t="s">
        <v>15</v>
      </c>
      <c r="E147" s="16">
        <v>336.66</v>
      </c>
      <c r="F147" s="8">
        <v>13</v>
      </c>
      <c r="G147" s="9">
        <v>0.2</v>
      </c>
      <c r="H147" s="10">
        <v>45651</v>
      </c>
      <c r="I147" s="8">
        <v>134.66</v>
      </c>
    </row>
    <row r="148" spans="1:9" ht="15" thickBot="1" x14ac:dyDescent="0.35">
      <c r="A148" s="8" t="s">
        <v>49</v>
      </c>
      <c r="B148" s="8" t="s">
        <v>23</v>
      </c>
      <c r="C148" s="8" t="s">
        <v>11</v>
      </c>
      <c r="D148" s="8" t="s">
        <v>12</v>
      </c>
      <c r="E148" s="16">
        <v>1353.79</v>
      </c>
      <c r="F148" s="8">
        <v>14</v>
      </c>
      <c r="G148" s="9">
        <v>0.1</v>
      </c>
      <c r="H148" s="10">
        <v>45656</v>
      </c>
      <c r="I148" s="8">
        <v>487.36</v>
      </c>
    </row>
    <row r="149" spans="1:9" ht="15" hidden="1" thickBot="1" x14ac:dyDescent="0.35">
      <c r="A149" s="8" t="s">
        <v>63</v>
      </c>
      <c r="B149" s="8" t="s">
        <v>69</v>
      </c>
      <c r="C149" s="8" t="s">
        <v>34</v>
      </c>
      <c r="D149" s="8" t="s">
        <v>15</v>
      </c>
      <c r="E149" s="16">
        <v>662.61</v>
      </c>
      <c r="F149" s="8">
        <v>11</v>
      </c>
      <c r="G149" s="9">
        <v>0.05</v>
      </c>
      <c r="H149" s="10">
        <v>45658</v>
      </c>
      <c r="I149" s="8">
        <v>314.74</v>
      </c>
    </row>
    <row r="150" spans="1:9" ht="15" hidden="1" thickBot="1" x14ac:dyDescent="0.35">
      <c r="A150" s="8" t="s">
        <v>52</v>
      </c>
      <c r="B150" s="8" t="s">
        <v>48</v>
      </c>
      <c r="C150" s="8" t="s">
        <v>24</v>
      </c>
      <c r="D150" s="8" t="s">
        <v>39</v>
      </c>
      <c r="E150" s="16">
        <v>309.42</v>
      </c>
      <c r="F150" s="8">
        <v>1</v>
      </c>
      <c r="G150" s="9">
        <v>0.2</v>
      </c>
      <c r="H150" s="10">
        <v>45658</v>
      </c>
      <c r="I150" s="8">
        <v>111.39</v>
      </c>
    </row>
    <row r="151" spans="1:9" ht="15" hidden="1" thickBot="1" x14ac:dyDescent="0.35">
      <c r="A151" s="8" t="s">
        <v>63</v>
      </c>
      <c r="B151" s="8" t="s">
        <v>29</v>
      </c>
      <c r="C151" s="8" t="s">
        <v>24</v>
      </c>
      <c r="D151" s="8" t="s">
        <v>12</v>
      </c>
      <c r="E151" s="16">
        <v>884.63</v>
      </c>
      <c r="F151" s="8">
        <v>18</v>
      </c>
      <c r="G151" s="9">
        <v>0.1</v>
      </c>
      <c r="H151" s="10">
        <v>45659</v>
      </c>
      <c r="I151" s="8">
        <v>318.47000000000003</v>
      </c>
    </row>
    <row r="152" spans="1:9" ht="15" hidden="1" thickBot="1" x14ac:dyDescent="0.35">
      <c r="A152" s="8" t="s">
        <v>52</v>
      </c>
      <c r="B152" s="8" t="s">
        <v>23</v>
      </c>
      <c r="C152" s="8" t="s">
        <v>34</v>
      </c>
      <c r="D152" s="8" t="s">
        <v>39</v>
      </c>
      <c r="E152" s="16">
        <v>745.05</v>
      </c>
      <c r="F152" s="8">
        <v>10</v>
      </c>
      <c r="G152" s="9">
        <v>0.1</v>
      </c>
      <c r="H152" s="10">
        <v>45660</v>
      </c>
      <c r="I152" s="8">
        <v>301.75</v>
      </c>
    </row>
    <row r="153" spans="1:9" ht="15" hidden="1" thickBot="1" x14ac:dyDescent="0.35">
      <c r="A153" s="8" t="s">
        <v>60</v>
      </c>
      <c r="B153" s="8" t="s">
        <v>17</v>
      </c>
      <c r="C153" s="8" t="s">
        <v>20</v>
      </c>
      <c r="D153" s="8" t="s">
        <v>15</v>
      </c>
      <c r="E153" s="16">
        <v>870.23</v>
      </c>
      <c r="F153" s="8">
        <v>5</v>
      </c>
      <c r="G153" s="9">
        <v>0.05</v>
      </c>
      <c r="H153" s="10">
        <v>45660</v>
      </c>
      <c r="I153" s="8">
        <v>413.36</v>
      </c>
    </row>
    <row r="154" spans="1:9" ht="15" hidden="1" thickBot="1" x14ac:dyDescent="0.35">
      <c r="A154" s="8" t="s">
        <v>35</v>
      </c>
      <c r="B154" s="8" t="s">
        <v>29</v>
      </c>
      <c r="C154" s="8" t="s">
        <v>11</v>
      </c>
      <c r="D154" s="8" t="s">
        <v>27</v>
      </c>
      <c r="E154" s="16">
        <v>862.19</v>
      </c>
      <c r="F154" s="8">
        <v>18</v>
      </c>
      <c r="G154" s="9">
        <v>0.05</v>
      </c>
      <c r="H154" s="10">
        <v>45663</v>
      </c>
      <c r="I154" s="8">
        <v>286.68</v>
      </c>
    </row>
    <row r="155" spans="1:9" ht="15" thickBot="1" x14ac:dyDescent="0.35">
      <c r="A155" s="8" t="s">
        <v>73</v>
      </c>
      <c r="B155" s="8" t="s">
        <v>59</v>
      </c>
      <c r="C155" s="8" t="s">
        <v>24</v>
      </c>
      <c r="D155" s="8" t="s">
        <v>15</v>
      </c>
      <c r="E155" s="16">
        <v>1171.18</v>
      </c>
      <c r="F155" s="8">
        <v>19</v>
      </c>
      <c r="G155" s="9">
        <v>0.05</v>
      </c>
      <c r="H155" s="10">
        <v>45667</v>
      </c>
      <c r="I155" s="8">
        <v>556.30999999999995</v>
      </c>
    </row>
    <row r="156" spans="1:9" ht="15" thickBot="1" x14ac:dyDescent="0.35">
      <c r="A156" s="8" t="s">
        <v>58</v>
      </c>
      <c r="B156" s="8" t="s">
        <v>14</v>
      </c>
      <c r="C156" s="8" t="s">
        <v>20</v>
      </c>
      <c r="D156" s="8" t="s">
        <v>27</v>
      </c>
      <c r="E156" s="16">
        <v>1054.56</v>
      </c>
      <c r="F156" s="8">
        <v>11</v>
      </c>
      <c r="G156" s="9">
        <v>0.1</v>
      </c>
      <c r="H156" s="10">
        <v>45669</v>
      </c>
      <c r="I156" s="8">
        <v>332.19</v>
      </c>
    </row>
    <row r="157" spans="1:9" ht="15" thickBot="1" x14ac:dyDescent="0.35">
      <c r="A157" s="8" t="s">
        <v>58</v>
      </c>
      <c r="B157" s="8" t="s">
        <v>23</v>
      </c>
      <c r="C157" s="8" t="s">
        <v>24</v>
      </c>
      <c r="D157" s="8" t="s">
        <v>21</v>
      </c>
      <c r="E157" s="16">
        <v>1681.21</v>
      </c>
      <c r="F157" s="8">
        <v>5</v>
      </c>
      <c r="G157" s="9">
        <v>0.2</v>
      </c>
      <c r="H157" s="10">
        <v>45670</v>
      </c>
      <c r="I157" s="8">
        <v>336.24</v>
      </c>
    </row>
    <row r="158" spans="1:9" ht="15" hidden="1" thickBot="1" x14ac:dyDescent="0.35">
      <c r="A158" s="8" t="s">
        <v>58</v>
      </c>
      <c r="B158" s="8" t="s">
        <v>36</v>
      </c>
      <c r="C158" s="8" t="s">
        <v>11</v>
      </c>
      <c r="D158" s="8" t="s">
        <v>15</v>
      </c>
      <c r="E158" s="16">
        <v>379.77</v>
      </c>
      <c r="F158" s="8">
        <v>9</v>
      </c>
      <c r="G158" s="9">
        <v>0.05</v>
      </c>
      <c r="H158" s="10">
        <v>45673</v>
      </c>
      <c r="I158" s="8">
        <v>180.39</v>
      </c>
    </row>
    <row r="159" spans="1:9" ht="15" thickBot="1" x14ac:dyDescent="0.35">
      <c r="A159" s="8" t="s">
        <v>44</v>
      </c>
      <c r="B159" s="8" t="s">
        <v>45</v>
      </c>
      <c r="C159" s="8" t="s">
        <v>34</v>
      </c>
      <c r="D159" s="8" t="s">
        <v>15</v>
      </c>
      <c r="E159" s="16">
        <v>1076.33</v>
      </c>
      <c r="F159" s="8">
        <v>2</v>
      </c>
      <c r="G159" s="9">
        <v>0.1</v>
      </c>
      <c r="H159" s="10">
        <v>45674</v>
      </c>
      <c r="I159" s="8">
        <v>484.35</v>
      </c>
    </row>
    <row r="160" spans="1:9" ht="15" thickBot="1" x14ac:dyDescent="0.35">
      <c r="A160" s="8" t="s">
        <v>44</v>
      </c>
      <c r="B160" s="8" t="s">
        <v>31</v>
      </c>
      <c r="C160" s="8" t="s">
        <v>34</v>
      </c>
      <c r="D160" s="8" t="s">
        <v>39</v>
      </c>
      <c r="E160" s="16">
        <v>1250.71</v>
      </c>
      <c r="F160" s="8">
        <v>7</v>
      </c>
      <c r="G160" s="9">
        <v>0</v>
      </c>
      <c r="H160" s="10">
        <v>45674</v>
      </c>
      <c r="I160" s="8">
        <v>562.82000000000005</v>
      </c>
    </row>
    <row r="161" spans="1:9" ht="15" thickBot="1" x14ac:dyDescent="0.35">
      <c r="A161" s="8" t="s">
        <v>40</v>
      </c>
      <c r="B161" s="8" t="s">
        <v>17</v>
      </c>
      <c r="C161" s="8" t="s">
        <v>20</v>
      </c>
      <c r="D161" s="8" t="s">
        <v>15</v>
      </c>
      <c r="E161" s="16">
        <v>1118.3399999999999</v>
      </c>
      <c r="F161" s="8">
        <v>6</v>
      </c>
      <c r="G161" s="9">
        <v>0.2</v>
      </c>
      <c r="H161" s="10">
        <v>45674</v>
      </c>
      <c r="I161" s="8">
        <v>447.34</v>
      </c>
    </row>
    <row r="162" spans="1:9" ht="15" thickBot="1" x14ac:dyDescent="0.35">
      <c r="A162" s="8" t="s">
        <v>70</v>
      </c>
      <c r="B162" s="8" t="s">
        <v>53</v>
      </c>
      <c r="C162" s="8" t="s">
        <v>24</v>
      </c>
      <c r="D162" s="8" t="s">
        <v>15</v>
      </c>
      <c r="E162" s="16">
        <v>1622.62</v>
      </c>
      <c r="F162" s="8">
        <v>12</v>
      </c>
      <c r="G162" s="9">
        <v>0.2</v>
      </c>
      <c r="H162" s="10">
        <v>45677</v>
      </c>
      <c r="I162" s="8">
        <v>649.04999999999995</v>
      </c>
    </row>
    <row r="163" spans="1:9" ht="15" hidden="1" thickBot="1" x14ac:dyDescent="0.35">
      <c r="A163" s="8" t="s">
        <v>75</v>
      </c>
      <c r="B163" s="8" t="s">
        <v>48</v>
      </c>
      <c r="C163" s="8" t="s">
        <v>24</v>
      </c>
      <c r="D163" s="8" t="s">
        <v>12</v>
      </c>
      <c r="E163" s="16">
        <v>640.64</v>
      </c>
      <c r="F163" s="8">
        <v>11</v>
      </c>
      <c r="G163" s="9">
        <v>0.2</v>
      </c>
      <c r="H163" s="10">
        <v>45678</v>
      </c>
      <c r="I163" s="8">
        <v>205</v>
      </c>
    </row>
    <row r="164" spans="1:9" ht="15" hidden="1" thickBot="1" x14ac:dyDescent="0.35">
      <c r="A164" s="8" t="s">
        <v>22</v>
      </c>
      <c r="B164" s="8" t="s">
        <v>43</v>
      </c>
      <c r="C164" s="8" t="s">
        <v>11</v>
      </c>
      <c r="D164" s="8" t="s">
        <v>15</v>
      </c>
      <c r="E164" s="16">
        <v>585.16</v>
      </c>
      <c r="F164" s="8">
        <v>17</v>
      </c>
      <c r="G164" s="9">
        <v>0.1</v>
      </c>
      <c r="H164" s="10">
        <v>45684</v>
      </c>
      <c r="I164" s="8">
        <v>263.32</v>
      </c>
    </row>
    <row r="165" spans="1:9" ht="15" thickBot="1" x14ac:dyDescent="0.35">
      <c r="A165" s="8" t="s">
        <v>22</v>
      </c>
      <c r="B165" s="8" t="s">
        <v>31</v>
      </c>
      <c r="C165" s="8" t="s">
        <v>18</v>
      </c>
      <c r="D165" s="8" t="s">
        <v>15</v>
      </c>
      <c r="E165" s="16">
        <v>1109.98</v>
      </c>
      <c r="F165" s="8">
        <v>5</v>
      </c>
      <c r="G165" s="9">
        <v>0.2</v>
      </c>
      <c r="H165" s="10">
        <v>45690</v>
      </c>
      <c r="I165" s="8">
        <v>443.99</v>
      </c>
    </row>
    <row r="166" spans="1:9" ht="15" thickBot="1" x14ac:dyDescent="0.35">
      <c r="A166" s="8" t="s">
        <v>58</v>
      </c>
      <c r="B166" s="8" t="s">
        <v>45</v>
      </c>
      <c r="C166" s="8" t="s">
        <v>18</v>
      </c>
      <c r="D166" s="8" t="s">
        <v>12</v>
      </c>
      <c r="E166" s="16">
        <v>1098.08</v>
      </c>
      <c r="F166" s="8">
        <v>9</v>
      </c>
      <c r="G166" s="9">
        <v>0.1</v>
      </c>
      <c r="H166" s="10">
        <v>45692</v>
      </c>
      <c r="I166" s="8">
        <v>395.31</v>
      </c>
    </row>
    <row r="167" spans="1:9" ht="15" hidden="1" thickBot="1" x14ac:dyDescent="0.35">
      <c r="A167" s="8" t="s">
        <v>65</v>
      </c>
      <c r="B167" s="8" t="s">
        <v>48</v>
      </c>
      <c r="C167" s="8" t="s">
        <v>11</v>
      </c>
      <c r="D167" s="8" t="s">
        <v>39</v>
      </c>
      <c r="E167" s="16">
        <v>827.25</v>
      </c>
      <c r="F167" s="8">
        <v>7</v>
      </c>
      <c r="G167" s="9">
        <v>0.1</v>
      </c>
      <c r="H167" s="10">
        <v>45693</v>
      </c>
      <c r="I167" s="8">
        <v>335.04</v>
      </c>
    </row>
    <row r="168" spans="1:9" ht="15" hidden="1" thickBot="1" x14ac:dyDescent="0.35">
      <c r="A168" s="8" t="s">
        <v>70</v>
      </c>
      <c r="B168" s="8" t="s">
        <v>29</v>
      </c>
      <c r="C168" s="8" t="s">
        <v>34</v>
      </c>
      <c r="D168" s="8" t="s">
        <v>15</v>
      </c>
      <c r="E168" s="16">
        <v>741.88</v>
      </c>
      <c r="F168" s="8">
        <v>16</v>
      </c>
      <c r="G168" s="9">
        <v>0.1</v>
      </c>
      <c r="H168" s="10">
        <v>45695</v>
      </c>
      <c r="I168" s="8">
        <v>333.85</v>
      </c>
    </row>
    <row r="169" spans="1:9" ht="15" thickBot="1" x14ac:dyDescent="0.35">
      <c r="A169" s="8" t="s">
        <v>72</v>
      </c>
      <c r="B169" s="8" t="s">
        <v>10</v>
      </c>
      <c r="C169" s="8" t="s">
        <v>18</v>
      </c>
      <c r="D169" s="8" t="s">
        <v>39</v>
      </c>
      <c r="E169" s="16">
        <v>1311.26</v>
      </c>
      <c r="F169" s="8">
        <v>6</v>
      </c>
      <c r="G169" s="9">
        <v>0.1</v>
      </c>
      <c r="H169" s="10">
        <v>45698</v>
      </c>
      <c r="I169" s="8">
        <v>531.05999999999995</v>
      </c>
    </row>
    <row r="170" spans="1:9" ht="15" hidden="1" thickBot="1" x14ac:dyDescent="0.35">
      <c r="A170" s="8" t="s">
        <v>72</v>
      </c>
      <c r="B170" s="8" t="s">
        <v>31</v>
      </c>
      <c r="C170" s="8" t="s">
        <v>20</v>
      </c>
      <c r="D170" s="8" t="s">
        <v>39</v>
      </c>
      <c r="E170" s="16">
        <v>573.32000000000005</v>
      </c>
      <c r="F170" s="8">
        <v>19</v>
      </c>
      <c r="G170" s="9">
        <v>0.1</v>
      </c>
      <c r="H170" s="10">
        <v>45703</v>
      </c>
      <c r="I170" s="8">
        <v>232.19</v>
      </c>
    </row>
    <row r="171" spans="1:9" ht="15" thickBot="1" x14ac:dyDescent="0.35">
      <c r="A171" s="8" t="s">
        <v>52</v>
      </c>
      <c r="B171" s="8" t="s">
        <v>23</v>
      </c>
      <c r="C171" s="8" t="s">
        <v>11</v>
      </c>
      <c r="D171" s="8" t="s">
        <v>21</v>
      </c>
      <c r="E171" s="16">
        <v>1115.22</v>
      </c>
      <c r="F171" s="8">
        <v>14</v>
      </c>
      <c r="G171" s="9">
        <v>0.2</v>
      </c>
      <c r="H171" s="10">
        <v>45705</v>
      </c>
      <c r="I171" s="8">
        <v>223.04</v>
      </c>
    </row>
    <row r="172" spans="1:9" ht="15" hidden="1" thickBot="1" x14ac:dyDescent="0.35">
      <c r="A172" s="8" t="s">
        <v>13</v>
      </c>
      <c r="B172" s="8" t="s">
        <v>45</v>
      </c>
      <c r="C172" s="8" t="s">
        <v>24</v>
      </c>
      <c r="D172" s="8" t="s">
        <v>15</v>
      </c>
      <c r="E172" s="16">
        <v>845.84</v>
      </c>
      <c r="F172" s="8">
        <v>4</v>
      </c>
      <c r="G172" s="9">
        <v>0</v>
      </c>
      <c r="H172" s="10">
        <v>45707</v>
      </c>
      <c r="I172" s="8">
        <v>422.92</v>
      </c>
    </row>
    <row r="173" spans="1:9" ht="15" thickBot="1" x14ac:dyDescent="0.35">
      <c r="A173" s="8" t="s">
        <v>30</v>
      </c>
      <c r="B173" s="8" t="s">
        <v>55</v>
      </c>
      <c r="C173" s="8" t="s">
        <v>11</v>
      </c>
      <c r="D173" s="8" t="s">
        <v>21</v>
      </c>
      <c r="E173" s="16">
        <v>1029.8</v>
      </c>
      <c r="F173" s="8">
        <v>3</v>
      </c>
      <c r="G173" s="9">
        <v>0</v>
      </c>
      <c r="H173" s="10">
        <v>45708</v>
      </c>
      <c r="I173" s="8">
        <v>257.45</v>
      </c>
    </row>
    <row r="174" spans="1:9" ht="15" thickBot="1" x14ac:dyDescent="0.35">
      <c r="A174" s="8" t="s">
        <v>32</v>
      </c>
      <c r="B174" s="8" t="s">
        <v>31</v>
      </c>
      <c r="C174" s="8" t="s">
        <v>24</v>
      </c>
      <c r="D174" s="8" t="s">
        <v>12</v>
      </c>
      <c r="E174" s="16">
        <v>1189.83</v>
      </c>
      <c r="F174" s="8">
        <v>2</v>
      </c>
      <c r="G174" s="9">
        <v>0.2</v>
      </c>
      <c r="H174" s="10">
        <v>45709</v>
      </c>
      <c r="I174" s="8">
        <v>380.75</v>
      </c>
    </row>
    <row r="175" spans="1:9" ht="15" hidden="1" thickBot="1" x14ac:dyDescent="0.35">
      <c r="A175" s="8" t="s">
        <v>67</v>
      </c>
      <c r="B175" s="8" t="s">
        <v>43</v>
      </c>
      <c r="C175" s="8" t="s">
        <v>20</v>
      </c>
      <c r="D175" s="8" t="s">
        <v>12</v>
      </c>
      <c r="E175" s="16">
        <v>704.28</v>
      </c>
      <c r="F175" s="8">
        <v>15</v>
      </c>
      <c r="G175" s="9">
        <v>0.2</v>
      </c>
      <c r="H175" s="10">
        <v>45712</v>
      </c>
      <c r="I175" s="8">
        <v>225.37</v>
      </c>
    </row>
    <row r="176" spans="1:9" ht="15" thickBot="1" x14ac:dyDescent="0.35">
      <c r="A176" s="8" t="s">
        <v>65</v>
      </c>
      <c r="B176" s="8" t="s">
        <v>47</v>
      </c>
      <c r="C176" s="8" t="s">
        <v>34</v>
      </c>
      <c r="D176" s="8" t="s">
        <v>39</v>
      </c>
      <c r="E176" s="16">
        <v>1618.22</v>
      </c>
      <c r="F176" s="8">
        <v>12</v>
      </c>
      <c r="G176" s="9">
        <v>0.2</v>
      </c>
      <c r="H176" s="10">
        <v>45712</v>
      </c>
      <c r="I176" s="8">
        <v>582.55999999999995</v>
      </c>
    </row>
    <row r="177" spans="1:9" ht="15" thickBot="1" x14ac:dyDescent="0.35">
      <c r="A177" s="8" t="s">
        <v>73</v>
      </c>
      <c r="B177" s="8" t="s">
        <v>53</v>
      </c>
      <c r="C177" s="8" t="s">
        <v>34</v>
      </c>
      <c r="D177" s="8" t="s">
        <v>12</v>
      </c>
      <c r="E177" s="16">
        <v>1014.43</v>
      </c>
      <c r="F177" s="8">
        <v>2</v>
      </c>
      <c r="G177" s="9">
        <v>0.15</v>
      </c>
      <c r="H177" s="10">
        <v>45713</v>
      </c>
      <c r="I177" s="8">
        <v>344.91</v>
      </c>
    </row>
    <row r="178" spans="1:9" ht="15" hidden="1" thickBot="1" x14ac:dyDescent="0.35">
      <c r="A178" s="8" t="s">
        <v>75</v>
      </c>
      <c r="B178" s="8" t="s">
        <v>31</v>
      </c>
      <c r="C178" s="8" t="s">
        <v>34</v>
      </c>
      <c r="D178" s="8" t="s">
        <v>15</v>
      </c>
      <c r="E178" s="16">
        <v>826.97</v>
      </c>
      <c r="F178" s="8">
        <v>18</v>
      </c>
      <c r="G178" s="9">
        <v>0.2</v>
      </c>
      <c r="H178" s="10">
        <v>45715</v>
      </c>
      <c r="I178" s="8">
        <v>330.79</v>
      </c>
    </row>
    <row r="179" spans="1:9" ht="15" thickBot="1" x14ac:dyDescent="0.35">
      <c r="A179" s="8" t="s">
        <v>16</v>
      </c>
      <c r="B179" s="8" t="s">
        <v>31</v>
      </c>
      <c r="C179" s="8" t="s">
        <v>34</v>
      </c>
      <c r="D179" s="8" t="s">
        <v>15</v>
      </c>
      <c r="E179" s="16">
        <v>1022.23</v>
      </c>
      <c r="F179" s="8">
        <v>8</v>
      </c>
      <c r="G179" s="9">
        <v>0.1</v>
      </c>
      <c r="H179" s="10">
        <v>45717</v>
      </c>
      <c r="I179" s="8">
        <v>460</v>
      </c>
    </row>
    <row r="180" spans="1:9" ht="15" thickBot="1" x14ac:dyDescent="0.35">
      <c r="A180" s="8" t="s">
        <v>72</v>
      </c>
      <c r="B180" s="8" t="s">
        <v>29</v>
      </c>
      <c r="C180" s="8" t="s">
        <v>18</v>
      </c>
      <c r="D180" s="8" t="s">
        <v>12</v>
      </c>
      <c r="E180" s="16">
        <v>1099.69</v>
      </c>
      <c r="F180" s="8">
        <v>6</v>
      </c>
      <c r="G180" s="9">
        <v>0</v>
      </c>
      <c r="H180" s="10">
        <v>45718</v>
      </c>
      <c r="I180" s="8">
        <v>439.88</v>
      </c>
    </row>
    <row r="181" spans="1:9" ht="15" hidden="1" thickBot="1" x14ac:dyDescent="0.35">
      <c r="A181" s="8" t="s">
        <v>52</v>
      </c>
      <c r="B181" s="8" t="s">
        <v>64</v>
      </c>
      <c r="C181" s="8" t="s">
        <v>24</v>
      </c>
      <c r="D181" s="8" t="s">
        <v>12</v>
      </c>
      <c r="E181" s="16">
        <v>710.52</v>
      </c>
      <c r="F181" s="8">
        <v>8</v>
      </c>
      <c r="G181" s="9">
        <v>0.1</v>
      </c>
      <c r="H181" s="10">
        <v>45721</v>
      </c>
      <c r="I181" s="8">
        <v>255.79</v>
      </c>
    </row>
    <row r="182" spans="1:9" ht="15" hidden="1" thickBot="1" x14ac:dyDescent="0.35">
      <c r="A182" s="8" t="s">
        <v>52</v>
      </c>
      <c r="B182" s="8" t="s">
        <v>59</v>
      </c>
      <c r="C182" s="8" t="s">
        <v>24</v>
      </c>
      <c r="D182" s="8" t="s">
        <v>12</v>
      </c>
      <c r="E182" s="16">
        <v>499.18</v>
      </c>
      <c r="F182" s="8">
        <v>15</v>
      </c>
      <c r="G182" s="9">
        <v>0.2</v>
      </c>
      <c r="H182" s="10">
        <v>45724</v>
      </c>
      <c r="I182" s="8">
        <v>159.74</v>
      </c>
    </row>
    <row r="183" spans="1:9" ht="15" thickBot="1" x14ac:dyDescent="0.35">
      <c r="A183" s="8" t="s">
        <v>37</v>
      </c>
      <c r="B183" s="8" t="s">
        <v>38</v>
      </c>
      <c r="C183" s="8" t="s">
        <v>20</v>
      </c>
      <c r="D183" s="8" t="s">
        <v>12</v>
      </c>
      <c r="E183" s="16">
        <v>1064.19</v>
      </c>
      <c r="F183" s="8">
        <v>18</v>
      </c>
      <c r="G183" s="9">
        <v>0.05</v>
      </c>
      <c r="H183" s="10">
        <v>45725</v>
      </c>
      <c r="I183" s="8">
        <v>404.39</v>
      </c>
    </row>
    <row r="184" spans="1:9" ht="15" hidden="1" thickBot="1" x14ac:dyDescent="0.35">
      <c r="A184" s="8" t="s">
        <v>67</v>
      </c>
      <c r="B184" s="8" t="s">
        <v>38</v>
      </c>
      <c r="C184" s="8" t="s">
        <v>18</v>
      </c>
      <c r="D184" s="8" t="s">
        <v>39</v>
      </c>
      <c r="E184" s="16">
        <v>438.76</v>
      </c>
      <c r="F184" s="8">
        <v>18</v>
      </c>
      <c r="G184" s="9">
        <v>0.05</v>
      </c>
      <c r="H184" s="10">
        <v>45726</v>
      </c>
      <c r="I184" s="8">
        <v>187.57</v>
      </c>
    </row>
    <row r="185" spans="1:9" ht="15" hidden="1" thickBot="1" x14ac:dyDescent="0.35">
      <c r="A185" s="8" t="s">
        <v>41</v>
      </c>
      <c r="B185" s="8" t="s">
        <v>55</v>
      </c>
      <c r="C185" s="8" t="s">
        <v>11</v>
      </c>
      <c r="D185" s="8" t="s">
        <v>15</v>
      </c>
      <c r="E185" s="16">
        <v>864.98</v>
      </c>
      <c r="F185" s="8">
        <v>2</v>
      </c>
      <c r="G185" s="9">
        <v>0.05</v>
      </c>
      <c r="H185" s="10">
        <v>45727</v>
      </c>
      <c r="I185" s="8">
        <v>410.87</v>
      </c>
    </row>
    <row r="186" spans="1:9" ht="15" hidden="1" thickBot="1" x14ac:dyDescent="0.35">
      <c r="A186" s="8" t="s">
        <v>57</v>
      </c>
      <c r="B186" s="8" t="s">
        <v>55</v>
      </c>
      <c r="C186" s="8" t="s">
        <v>11</v>
      </c>
      <c r="D186" s="8" t="s">
        <v>27</v>
      </c>
      <c r="E186" s="16">
        <v>984.93</v>
      </c>
      <c r="F186" s="8">
        <v>14</v>
      </c>
      <c r="G186" s="9">
        <v>0.2</v>
      </c>
      <c r="H186" s="10">
        <v>45733</v>
      </c>
      <c r="I186" s="8">
        <v>275.77999999999997</v>
      </c>
    </row>
    <row r="187" spans="1:9" ht="15" thickBot="1" x14ac:dyDescent="0.35">
      <c r="A187" s="8" t="s">
        <v>25</v>
      </c>
      <c r="B187" s="8" t="s">
        <v>55</v>
      </c>
      <c r="C187" s="8" t="s">
        <v>11</v>
      </c>
      <c r="D187" s="8" t="s">
        <v>15</v>
      </c>
      <c r="E187" s="16">
        <v>1493.49</v>
      </c>
      <c r="F187" s="8">
        <v>18</v>
      </c>
      <c r="G187" s="9">
        <v>0</v>
      </c>
      <c r="H187" s="10">
        <v>45734</v>
      </c>
      <c r="I187" s="8">
        <v>746.74</v>
      </c>
    </row>
    <row r="188" spans="1:9" ht="15" hidden="1" thickBot="1" x14ac:dyDescent="0.35">
      <c r="A188" s="8" t="s">
        <v>32</v>
      </c>
      <c r="B188" s="8" t="s">
        <v>53</v>
      </c>
      <c r="C188" s="8" t="s">
        <v>20</v>
      </c>
      <c r="D188" s="8" t="s">
        <v>15</v>
      </c>
      <c r="E188" s="16">
        <v>689.43</v>
      </c>
      <c r="F188" s="8">
        <v>9</v>
      </c>
      <c r="G188" s="9">
        <v>0.1</v>
      </c>
      <c r="H188" s="10">
        <v>45736</v>
      </c>
      <c r="I188" s="8">
        <v>310.24</v>
      </c>
    </row>
    <row r="189" spans="1:9" ht="15" hidden="1" thickBot="1" x14ac:dyDescent="0.35">
      <c r="A189" s="8" t="s">
        <v>40</v>
      </c>
      <c r="B189" s="8" t="s">
        <v>59</v>
      </c>
      <c r="C189" s="8" t="s">
        <v>20</v>
      </c>
      <c r="D189" s="8" t="s">
        <v>15</v>
      </c>
      <c r="E189" s="16">
        <v>682.24</v>
      </c>
      <c r="F189" s="8">
        <v>1</v>
      </c>
      <c r="G189" s="9">
        <v>0</v>
      </c>
      <c r="H189" s="10">
        <v>45738</v>
      </c>
      <c r="I189" s="8">
        <v>341.12</v>
      </c>
    </row>
    <row r="190" spans="1:9" ht="15" hidden="1" thickBot="1" x14ac:dyDescent="0.35">
      <c r="A190" s="8" t="s">
        <v>41</v>
      </c>
      <c r="B190" s="8" t="s">
        <v>26</v>
      </c>
      <c r="C190" s="8" t="s">
        <v>24</v>
      </c>
      <c r="D190" s="8" t="s">
        <v>21</v>
      </c>
      <c r="E190" s="16">
        <v>458.54</v>
      </c>
      <c r="F190" s="8">
        <v>15</v>
      </c>
      <c r="G190" s="9">
        <v>0.2</v>
      </c>
      <c r="H190" s="10">
        <v>45741</v>
      </c>
      <c r="I190" s="8">
        <v>91.71</v>
      </c>
    </row>
    <row r="191" spans="1:9" ht="15" thickBot="1" x14ac:dyDescent="0.35">
      <c r="A191" s="8" t="s">
        <v>32</v>
      </c>
      <c r="B191" s="8" t="s">
        <v>26</v>
      </c>
      <c r="C191" s="8" t="s">
        <v>20</v>
      </c>
      <c r="D191" s="8" t="s">
        <v>27</v>
      </c>
      <c r="E191" s="16">
        <v>1184.25</v>
      </c>
      <c r="F191" s="8">
        <v>11</v>
      </c>
      <c r="G191" s="9">
        <v>0.2</v>
      </c>
      <c r="H191" s="10">
        <v>45742</v>
      </c>
      <c r="I191" s="8">
        <v>331.59</v>
      </c>
    </row>
    <row r="192" spans="1:9" ht="15" hidden="1" thickBot="1" x14ac:dyDescent="0.35">
      <c r="A192" s="8" t="s">
        <v>25</v>
      </c>
      <c r="B192" s="8" t="s">
        <v>10</v>
      </c>
      <c r="C192" s="8" t="s">
        <v>20</v>
      </c>
      <c r="D192" s="8" t="s">
        <v>15</v>
      </c>
      <c r="E192" s="16">
        <v>762.14</v>
      </c>
      <c r="F192" s="8">
        <v>9</v>
      </c>
      <c r="G192" s="9">
        <v>0</v>
      </c>
      <c r="H192" s="10">
        <v>45743</v>
      </c>
      <c r="I192" s="8">
        <v>381.07</v>
      </c>
    </row>
    <row r="193" spans="1:9" ht="15" hidden="1" thickBot="1" x14ac:dyDescent="0.35">
      <c r="A193" s="8" t="s">
        <v>22</v>
      </c>
      <c r="B193" s="8" t="s">
        <v>53</v>
      </c>
      <c r="C193" s="8" t="s">
        <v>24</v>
      </c>
      <c r="D193" s="8" t="s">
        <v>12</v>
      </c>
      <c r="E193" s="16">
        <v>750.71</v>
      </c>
      <c r="F193" s="8">
        <v>10</v>
      </c>
      <c r="G193" s="9">
        <v>0.15</v>
      </c>
      <c r="H193" s="10">
        <v>45743</v>
      </c>
      <c r="I193" s="8">
        <v>255.24</v>
      </c>
    </row>
    <row r="194" spans="1:9" ht="15" thickBot="1" x14ac:dyDescent="0.35">
      <c r="A194" s="8" t="s">
        <v>75</v>
      </c>
      <c r="B194" s="8" t="s">
        <v>71</v>
      </c>
      <c r="C194" s="8" t="s">
        <v>34</v>
      </c>
      <c r="D194" s="8" t="s">
        <v>15</v>
      </c>
      <c r="E194" s="16">
        <v>1456.94</v>
      </c>
      <c r="F194" s="8">
        <v>14</v>
      </c>
      <c r="G194" s="9">
        <v>0.05</v>
      </c>
      <c r="H194" s="10">
        <v>45745</v>
      </c>
      <c r="I194" s="8">
        <v>692.05</v>
      </c>
    </row>
    <row r="195" spans="1:9" ht="15" thickBot="1" x14ac:dyDescent="0.35">
      <c r="A195" s="8" t="s">
        <v>44</v>
      </c>
      <c r="B195" s="8" t="s">
        <v>61</v>
      </c>
      <c r="C195" s="8" t="s">
        <v>18</v>
      </c>
      <c r="D195" s="8" t="s">
        <v>27</v>
      </c>
      <c r="E195" s="16">
        <v>1093.3800000000001</v>
      </c>
      <c r="F195" s="8">
        <v>17</v>
      </c>
      <c r="G195" s="9">
        <v>0.1</v>
      </c>
      <c r="H195" s="10">
        <v>45745</v>
      </c>
      <c r="I195" s="8">
        <v>344.41</v>
      </c>
    </row>
    <row r="196" spans="1:9" ht="15" hidden="1" thickBot="1" x14ac:dyDescent="0.35">
      <c r="A196" s="8" t="s">
        <v>37</v>
      </c>
      <c r="B196" s="8" t="s">
        <v>43</v>
      </c>
      <c r="C196" s="8" t="s">
        <v>11</v>
      </c>
      <c r="D196" s="8" t="s">
        <v>15</v>
      </c>
      <c r="E196" s="16">
        <v>934.27</v>
      </c>
      <c r="F196" s="8">
        <v>8</v>
      </c>
      <c r="G196" s="9">
        <v>0.15</v>
      </c>
      <c r="H196" s="10">
        <v>45746</v>
      </c>
      <c r="I196" s="8">
        <v>397.06</v>
      </c>
    </row>
    <row r="197" spans="1:9" ht="15" thickBot="1" x14ac:dyDescent="0.35">
      <c r="A197" s="8" t="s">
        <v>70</v>
      </c>
      <c r="B197" s="8" t="s">
        <v>36</v>
      </c>
      <c r="C197" s="8" t="s">
        <v>34</v>
      </c>
      <c r="D197" s="8" t="s">
        <v>15</v>
      </c>
      <c r="E197" s="16">
        <v>1465.35</v>
      </c>
      <c r="F197" s="8">
        <v>8</v>
      </c>
      <c r="G197" s="9">
        <v>0.2</v>
      </c>
      <c r="H197" s="10">
        <v>45746</v>
      </c>
      <c r="I197" s="8">
        <v>586.14</v>
      </c>
    </row>
    <row r="198" spans="1:9" ht="15" hidden="1" thickBot="1" x14ac:dyDescent="0.35">
      <c r="A198" s="8" t="s">
        <v>52</v>
      </c>
      <c r="B198" s="8" t="s">
        <v>14</v>
      </c>
      <c r="C198" s="8" t="s">
        <v>20</v>
      </c>
      <c r="D198" s="8" t="s">
        <v>39</v>
      </c>
      <c r="E198" s="16">
        <v>740.8</v>
      </c>
      <c r="F198" s="8">
        <v>3</v>
      </c>
      <c r="G198" s="9">
        <v>0</v>
      </c>
      <c r="H198" s="10">
        <v>45749</v>
      </c>
      <c r="I198" s="8">
        <v>333.36</v>
      </c>
    </row>
    <row r="199" spans="1:9" ht="15" hidden="1" thickBot="1" x14ac:dyDescent="0.35">
      <c r="A199" s="8" t="s">
        <v>58</v>
      </c>
      <c r="B199" s="8" t="s">
        <v>43</v>
      </c>
      <c r="C199" s="8" t="s">
        <v>11</v>
      </c>
      <c r="D199" s="8" t="s">
        <v>39</v>
      </c>
      <c r="E199" s="16">
        <v>545.44000000000005</v>
      </c>
      <c r="F199" s="8">
        <v>17</v>
      </c>
      <c r="G199" s="9">
        <v>0</v>
      </c>
      <c r="H199" s="10">
        <v>45752</v>
      </c>
      <c r="I199" s="8">
        <v>245.45</v>
      </c>
    </row>
    <row r="200" spans="1:9" ht="15" hidden="1" thickBot="1" x14ac:dyDescent="0.35">
      <c r="A200" s="8" t="s">
        <v>35</v>
      </c>
      <c r="B200" s="8" t="s">
        <v>36</v>
      </c>
      <c r="C200" s="8" t="s">
        <v>18</v>
      </c>
      <c r="D200" s="8" t="s">
        <v>12</v>
      </c>
      <c r="E200" s="16">
        <v>997.61</v>
      </c>
      <c r="F200" s="8">
        <v>8</v>
      </c>
      <c r="G200" s="9">
        <v>0.05</v>
      </c>
      <c r="H200" s="10">
        <v>45752</v>
      </c>
      <c r="I200" s="8">
        <v>379.09</v>
      </c>
    </row>
    <row r="201" spans="1:9" ht="15" hidden="1" thickBot="1" x14ac:dyDescent="0.35">
      <c r="A201" s="8" t="s">
        <v>60</v>
      </c>
      <c r="B201" s="8" t="s">
        <v>36</v>
      </c>
      <c r="C201" s="8" t="s">
        <v>20</v>
      </c>
      <c r="D201" s="8" t="s">
        <v>15</v>
      </c>
      <c r="E201" s="16">
        <v>928.32</v>
      </c>
      <c r="F201" s="8">
        <v>2</v>
      </c>
      <c r="G201" s="9">
        <v>0.05</v>
      </c>
      <c r="H201" s="10">
        <v>45754</v>
      </c>
      <c r="I201" s="8">
        <v>440.95</v>
      </c>
    </row>
  </sheetData>
  <autoFilter ref="A1:I201" xr:uid="{2E5917CD-4A28-4187-8D49-EABFB87DC080}">
    <filterColumn colId="4">
      <customFilters>
        <customFilter operator="greaterThan" val="100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1497-16F7-4F11-9C62-9C3E621DB0B6}">
  <dimension ref="A1:J31"/>
  <sheetViews>
    <sheetView workbookViewId="0">
      <selection activeCell="J17" sqref="J17"/>
    </sheetView>
  </sheetViews>
  <sheetFormatPr defaultRowHeight="14.4" x14ac:dyDescent="0.3"/>
  <cols>
    <col min="1" max="1" width="12.33203125" bestFit="1" customWidth="1"/>
    <col min="2" max="2" width="14.6640625" bestFit="1" customWidth="1"/>
    <col min="3" max="3" width="7.109375" bestFit="1" customWidth="1"/>
    <col min="4" max="4" width="5.44140625" bestFit="1" customWidth="1"/>
    <col min="5" max="5" width="9.77734375" bestFit="1" customWidth="1"/>
    <col min="8" max="8" width="28.109375" customWidth="1"/>
    <col min="9" max="9" width="12.33203125" bestFit="1" customWidth="1"/>
    <col min="10" max="10" width="14.6640625" bestFit="1" customWidth="1"/>
  </cols>
  <sheetData>
    <row r="1" spans="1:10" x14ac:dyDescent="0.3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10" x14ac:dyDescent="0.3">
      <c r="A2" s="2" t="s">
        <v>28</v>
      </c>
      <c r="B2" s="3">
        <f>SUMIFS(Sheet1!$E$2:$E$201,Sheet1!$A$2:$A$201,A2)</f>
        <v>6549.55</v>
      </c>
      <c r="C2" s="2">
        <f>COUNTIF([1]Sheet1!$A$2:$A$201,A2)</f>
        <v>7</v>
      </c>
      <c r="D2" s="2">
        <f t="shared" ref="D2:D31" si="0">RANK(B2,$B$2:$B$31)</f>
        <v>15</v>
      </c>
      <c r="E2" s="2" t="str">
        <f t="shared" ref="E2:E31" si="1">IF(B2&gt;=$H$2,"High Value","Regular")</f>
        <v>High Value</v>
      </c>
    </row>
    <row r="3" spans="1:10" x14ac:dyDescent="0.3">
      <c r="A3" s="2" t="s">
        <v>65</v>
      </c>
      <c r="B3" s="3">
        <f>SUMIFS(Sheet1!$E$2:$E$201,Sheet1!$A$2:$A$201,A3)</f>
        <v>6481.43</v>
      </c>
      <c r="C3" s="2">
        <f>COUNTIF([1]Sheet1!$A$2:$A$201,A3)</f>
        <v>6</v>
      </c>
      <c r="D3" s="2">
        <f t="shared" si="0"/>
        <v>17</v>
      </c>
      <c r="E3" s="2" t="str">
        <f t="shared" si="1"/>
        <v>High Value</v>
      </c>
    </row>
    <row r="4" spans="1:10" x14ac:dyDescent="0.3">
      <c r="A4" s="2" t="s">
        <v>67</v>
      </c>
      <c r="B4" s="3">
        <f>SUMIFS(Sheet1!$E$2:$E$201,Sheet1!$A$2:$A$201,A4)</f>
        <v>8490.18</v>
      </c>
      <c r="C4" s="2">
        <f>COUNTIF([1]Sheet1!$A$2:$A$201,A4)</f>
        <v>9</v>
      </c>
      <c r="D4" s="2">
        <f t="shared" si="0"/>
        <v>7</v>
      </c>
      <c r="E4" s="2" t="str">
        <f t="shared" si="1"/>
        <v>High Value</v>
      </c>
      <c r="H4" s="37" t="s">
        <v>144</v>
      </c>
    </row>
    <row r="5" spans="1:10" x14ac:dyDescent="0.3">
      <c r="A5" s="2" t="s">
        <v>72</v>
      </c>
      <c r="B5" s="3">
        <f>SUMIFS(Sheet1!$E$2:$E$201,Sheet1!$A$2:$A$201,A5)</f>
        <v>7813.59</v>
      </c>
      <c r="C5" s="2">
        <f>COUNTIF([1]Sheet1!$A$2:$A$201,A5)</f>
        <v>7</v>
      </c>
      <c r="D5" s="2">
        <f t="shared" si="0"/>
        <v>10</v>
      </c>
      <c r="E5" s="2" t="str">
        <f t="shared" si="1"/>
        <v>High Value</v>
      </c>
      <c r="H5" s="38" t="s">
        <v>145</v>
      </c>
      <c r="I5" s="39">
        <v>8000</v>
      </c>
    </row>
    <row r="6" spans="1:10" x14ac:dyDescent="0.3">
      <c r="A6" s="2" t="s">
        <v>19</v>
      </c>
      <c r="B6" s="3">
        <f>SUMIFS(Sheet1!$E$2:$E$201,Sheet1!$A$2:$A$201,A6)</f>
        <v>6666.130000000001</v>
      </c>
      <c r="C6" s="2">
        <f>COUNTIF([1]Sheet1!$A$2:$A$201,A6)</f>
        <v>6</v>
      </c>
      <c r="D6" s="2">
        <f t="shared" si="0"/>
        <v>14</v>
      </c>
      <c r="E6" s="2" t="str">
        <f t="shared" si="1"/>
        <v>High Value</v>
      </c>
    </row>
    <row r="7" spans="1:10" x14ac:dyDescent="0.3">
      <c r="A7" s="2" t="s">
        <v>46</v>
      </c>
      <c r="B7" s="3">
        <f>SUMIFS(Sheet1!$E$2:$E$201,Sheet1!$A$2:$A$201,A7)</f>
        <v>2699.75</v>
      </c>
      <c r="C7" s="2">
        <f>COUNTIF([1]Sheet1!$A$2:$A$201,A7)</f>
        <v>2</v>
      </c>
      <c r="D7" s="2">
        <f t="shared" si="0"/>
        <v>30</v>
      </c>
      <c r="E7" s="2" t="str">
        <f t="shared" si="1"/>
        <v>High Value</v>
      </c>
      <c r="H7" s="37" t="s">
        <v>146</v>
      </c>
    </row>
    <row r="8" spans="1:10" x14ac:dyDescent="0.3">
      <c r="A8" s="2" t="s">
        <v>25</v>
      </c>
      <c r="B8" s="3">
        <f>SUMIFS(Sheet1!$E$2:$E$201,Sheet1!$A$2:$A$201,A8)</f>
        <v>9941.8799999999992</v>
      </c>
      <c r="C8" s="2">
        <f>COUNTIF([1]Sheet1!$A$2:$A$201,A8)</f>
        <v>10</v>
      </c>
      <c r="D8" s="2">
        <f t="shared" si="0"/>
        <v>3</v>
      </c>
      <c r="E8" s="2" t="str">
        <f t="shared" si="1"/>
        <v>High Value</v>
      </c>
      <c r="H8" s="38" t="s">
        <v>147</v>
      </c>
      <c r="I8" s="40" t="s">
        <v>58</v>
      </c>
    </row>
    <row r="9" spans="1:10" x14ac:dyDescent="0.3">
      <c r="A9" s="2" t="s">
        <v>44</v>
      </c>
      <c r="B9" s="3">
        <f>SUMIFS(Sheet1!$E$2:$E$201,Sheet1!$A$2:$A$201,A9)</f>
        <v>9760.7999999999993</v>
      </c>
      <c r="C9" s="2">
        <f>COUNTIF([1]Sheet1!$A$2:$A$201,A9)</f>
        <v>10</v>
      </c>
      <c r="D9" s="2">
        <f t="shared" si="0"/>
        <v>4</v>
      </c>
      <c r="E9" s="2" t="str">
        <f t="shared" si="1"/>
        <v>High Value</v>
      </c>
      <c r="H9" s="38" t="s">
        <v>148</v>
      </c>
      <c r="I9" s="41">
        <f>INDEX($B$2:$B$31,MATCH(I8,$A$2:$A$31,0))</f>
        <v>11611.060000000001</v>
      </c>
    </row>
    <row r="10" spans="1:10" x14ac:dyDescent="0.3">
      <c r="A10" s="2" t="s">
        <v>32</v>
      </c>
      <c r="B10" s="3">
        <f>SUMIFS(Sheet1!$E$2:$E$201,Sheet1!$A$2:$A$201,A10)</f>
        <v>6505.2</v>
      </c>
      <c r="C10" s="2">
        <f>COUNTIF([1]Sheet1!$A$2:$A$201,A10)</f>
        <v>7</v>
      </c>
      <c r="D10" s="2">
        <f t="shared" si="0"/>
        <v>16</v>
      </c>
      <c r="E10" s="2" t="str">
        <f t="shared" si="1"/>
        <v>High Value</v>
      </c>
      <c r="H10" s="38" t="s">
        <v>78</v>
      </c>
      <c r="I10" s="38">
        <f>INDEX($D$2:$D$31,MATCH(I8,$A$2:$A$31,0))</f>
        <v>1</v>
      </c>
    </row>
    <row r="11" spans="1:10" x14ac:dyDescent="0.3">
      <c r="A11" s="2" t="s">
        <v>35</v>
      </c>
      <c r="B11" s="3">
        <f>SUMIFS(Sheet1!$E$2:$E$201,Sheet1!$A$2:$A$201,A11)</f>
        <v>4259.22</v>
      </c>
      <c r="C11" s="2">
        <f>COUNTIF([1]Sheet1!$A$2:$A$201,A11)</f>
        <v>5</v>
      </c>
      <c r="D11" s="2">
        <f t="shared" si="0"/>
        <v>24</v>
      </c>
      <c r="E11" s="2" t="str">
        <f t="shared" si="1"/>
        <v>High Value</v>
      </c>
      <c r="H11" s="38" t="s">
        <v>79</v>
      </c>
      <c r="I11" s="38" t="str">
        <f>INDEX($E$2:$E$31,MATCH(I8,$A$2:$A$31,0))</f>
        <v>High Value</v>
      </c>
    </row>
    <row r="12" spans="1:10" x14ac:dyDescent="0.3">
      <c r="A12" s="2" t="s">
        <v>63</v>
      </c>
      <c r="B12" s="3">
        <f>SUMIFS(Sheet1!$E$2:$E$201,Sheet1!$A$2:$A$201,A12)</f>
        <v>3762.2900000000004</v>
      </c>
      <c r="C12" s="2">
        <f>COUNTIF([1]Sheet1!$A$2:$A$201,A12)</f>
        <v>4</v>
      </c>
      <c r="D12" s="2">
        <f t="shared" si="0"/>
        <v>27</v>
      </c>
      <c r="E12" s="2" t="str">
        <f t="shared" si="1"/>
        <v>High Value</v>
      </c>
    </row>
    <row r="13" spans="1:10" x14ac:dyDescent="0.3">
      <c r="A13" s="2" t="s">
        <v>13</v>
      </c>
      <c r="B13" s="3">
        <f>SUMIFS(Sheet1!$E$2:$E$201,Sheet1!$A$2:$A$201,A13)</f>
        <v>8339</v>
      </c>
      <c r="C13" s="2">
        <f>COUNTIF([1]Sheet1!$A$2:$A$201,A13)</f>
        <v>9</v>
      </c>
      <c r="D13" s="2">
        <f t="shared" si="0"/>
        <v>8</v>
      </c>
      <c r="E13" s="2" t="str">
        <f t="shared" si="1"/>
        <v>High Value</v>
      </c>
      <c r="H13" s="37" t="s">
        <v>149</v>
      </c>
    </row>
    <row r="14" spans="1:10" x14ac:dyDescent="0.3">
      <c r="A14" s="2" t="s">
        <v>73</v>
      </c>
      <c r="B14" s="3">
        <f>SUMIFS(Sheet1!$E$2:$E$201,Sheet1!$A$2:$A$201,A14)</f>
        <v>4162.4400000000005</v>
      </c>
      <c r="C14" s="2">
        <f>COUNTIF([1]Sheet1!$A$2:$A$201,A14)</f>
        <v>4</v>
      </c>
      <c r="D14" s="2">
        <f t="shared" si="0"/>
        <v>25</v>
      </c>
      <c r="E14" s="2" t="str">
        <f t="shared" si="1"/>
        <v>High Value</v>
      </c>
      <c r="H14" s="20" t="s">
        <v>78</v>
      </c>
      <c r="I14" s="20" t="s">
        <v>0</v>
      </c>
      <c r="J14" s="20" t="s">
        <v>76</v>
      </c>
    </row>
    <row r="15" spans="1:10" x14ac:dyDescent="0.3">
      <c r="A15" s="2" t="s">
        <v>37</v>
      </c>
      <c r="B15" s="3">
        <f>SUMIFS(Sheet1!$E$2:$E$201,Sheet1!$A$2:$A$201,A15)</f>
        <v>6729.8899999999994</v>
      </c>
      <c r="C15" s="2">
        <f>COUNTIF([1]Sheet1!$A$2:$A$201,A15)</f>
        <v>6</v>
      </c>
      <c r="D15" s="2">
        <f t="shared" si="0"/>
        <v>12</v>
      </c>
      <c r="E15" s="2" t="str">
        <f t="shared" si="1"/>
        <v>High Value</v>
      </c>
      <c r="H15" s="42">
        <v>1</v>
      </c>
      <c r="I15" s="42" t="str">
        <f t="shared" ref="I15:I26" si="2">IF(J15="","",INDEX($A$2:$A$31,MATCH(J15,$B$2:$B$31,0)))</f>
        <v>CUST015</v>
      </c>
      <c r="J15" s="43">
        <f t="shared" ref="J15:J26" si="3">IF(LARGE($B$2:$B$31,H15)&gt;=$H$2,LARGE($B$2:$B$31,H15),"")</f>
        <v>11611.060000000001</v>
      </c>
    </row>
    <row r="16" spans="1:10" x14ac:dyDescent="0.3">
      <c r="A16" s="2" t="s">
        <v>58</v>
      </c>
      <c r="B16" s="3">
        <f>SUMIFS(Sheet1!$E$2:$E$201,Sheet1!$A$2:$A$201,A16)</f>
        <v>11611.060000000001</v>
      </c>
      <c r="C16" s="2">
        <f>COUNTIF([1]Sheet1!$A$2:$A$201,A16)</f>
        <v>11</v>
      </c>
      <c r="D16" s="2">
        <f t="shared" si="0"/>
        <v>1</v>
      </c>
      <c r="E16" s="2" t="str">
        <f t="shared" si="1"/>
        <v>High Value</v>
      </c>
      <c r="H16" s="42">
        <v>2</v>
      </c>
      <c r="I16" s="42" t="str">
        <f t="shared" si="2"/>
        <v>CUST028</v>
      </c>
      <c r="J16" s="43">
        <f t="shared" si="3"/>
        <v>10293.870000000001</v>
      </c>
    </row>
    <row r="17" spans="1:10" x14ac:dyDescent="0.3">
      <c r="A17" s="2" t="s">
        <v>60</v>
      </c>
      <c r="B17" s="3">
        <f>SUMIFS(Sheet1!$E$2:$E$201,Sheet1!$A$2:$A$201,A17)</f>
        <v>3369.17</v>
      </c>
      <c r="C17" s="2">
        <f>COUNTIF([1]Sheet1!$A$2:$A$201,A17)</f>
        <v>4</v>
      </c>
      <c r="D17" s="2">
        <f t="shared" si="0"/>
        <v>29</v>
      </c>
      <c r="E17" s="2" t="str">
        <f t="shared" si="1"/>
        <v>High Value</v>
      </c>
      <c r="H17" s="42">
        <v>3</v>
      </c>
      <c r="I17" s="42" t="str">
        <f t="shared" si="2"/>
        <v>CUST007</v>
      </c>
      <c r="J17" s="43">
        <f t="shared" si="3"/>
        <v>9941.8799999999992</v>
      </c>
    </row>
    <row r="18" spans="1:10" x14ac:dyDescent="0.3">
      <c r="A18" s="2" t="s">
        <v>16</v>
      </c>
      <c r="B18" s="3">
        <f>SUMIFS(Sheet1!$E$2:$E$201,Sheet1!$A$2:$A$201,A18)</f>
        <v>3419.2</v>
      </c>
      <c r="C18" s="2">
        <f>COUNTIF([1]Sheet1!$A$2:$A$201,A18)</f>
        <v>4</v>
      </c>
      <c r="D18" s="2">
        <f t="shared" si="0"/>
        <v>28</v>
      </c>
      <c r="E18" s="2" t="str">
        <f t="shared" si="1"/>
        <v>High Value</v>
      </c>
      <c r="H18" s="42">
        <v>4</v>
      </c>
      <c r="I18" s="42" t="str">
        <f t="shared" si="2"/>
        <v>CUST008</v>
      </c>
      <c r="J18" s="43">
        <f t="shared" si="3"/>
        <v>9760.7999999999993</v>
      </c>
    </row>
    <row r="19" spans="1:10" x14ac:dyDescent="0.3">
      <c r="A19" s="2" t="s">
        <v>75</v>
      </c>
      <c r="B19" s="3">
        <f>SUMIFS(Sheet1!$E$2:$E$201,Sheet1!$A$2:$A$201,A19)</f>
        <v>4951.8899999999994</v>
      </c>
      <c r="C19" s="2">
        <f>COUNTIF([1]Sheet1!$A$2:$A$201,A19)</f>
        <v>5</v>
      </c>
      <c r="D19" s="2">
        <f t="shared" si="0"/>
        <v>20</v>
      </c>
      <c r="E19" s="2" t="str">
        <f t="shared" si="1"/>
        <v>High Value</v>
      </c>
      <c r="H19" s="42">
        <v>5</v>
      </c>
      <c r="I19" s="42" t="str">
        <f t="shared" si="2"/>
        <v>CUST026</v>
      </c>
      <c r="J19" s="43">
        <f t="shared" si="3"/>
        <v>9371.81</v>
      </c>
    </row>
    <row r="20" spans="1:10" x14ac:dyDescent="0.3">
      <c r="A20" s="2" t="s">
        <v>9</v>
      </c>
      <c r="B20" s="3">
        <f>SUMIFS(Sheet1!$E$2:$E$201,Sheet1!$A$2:$A$201,A20)</f>
        <v>4640.1099999999997</v>
      </c>
      <c r="C20" s="2">
        <f>COUNTIF([1]Sheet1!$A$2:$A$201,A20)</f>
        <v>5</v>
      </c>
      <c r="D20" s="2">
        <f t="shared" si="0"/>
        <v>21</v>
      </c>
      <c r="E20" s="2" t="str">
        <f t="shared" si="1"/>
        <v>High Value</v>
      </c>
      <c r="H20" s="42">
        <v>6</v>
      </c>
      <c r="I20" s="42" t="str">
        <f t="shared" si="2"/>
        <v>CUST021</v>
      </c>
      <c r="J20" s="43">
        <f t="shared" si="3"/>
        <v>8740.18</v>
      </c>
    </row>
    <row r="21" spans="1:10" x14ac:dyDescent="0.3">
      <c r="A21" s="2" t="s">
        <v>68</v>
      </c>
      <c r="B21" s="3">
        <f>SUMIFS(Sheet1!$E$2:$E$201,Sheet1!$A$2:$A$201,A21)</f>
        <v>4413.71</v>
      </c>
      <c r="C21" s="2">
        <f>COUNTIF([1]Sheet1!$A$2:$A$201,A21)</f>
        <v>4</v>
      </c>
      <c r="D21" s="2">
        <f t="shared" si="0"/>
        <v>23</v>
      </c>
      <c r="E21" s="2" t="str">
        <f t="shared" si="1"/>
        <v>High Value</v>
      </c>
      <c r="H21" s="42">
        <v>7</v>
      </c>
      <c r="I21" s="42" t="str">
        <f t="shared" si="2"/>
        <v>CUST003</v>
      </c>
      <c r="J21" s="43">
        <f t="shared" si="3"/>
        <v>8490.18</v>
      </c>
    </row>
    <row r="22" spans="1:10" x14ac:dyDescent="0.3">
      <c r="A22" s="2" t="s">
        <v>57</v>
      </c>
      <c r="B22" s="3">
        <f>SUMIFS(Sheet1!$E$2:$E$201,Sheet1!$A$2:$A$201,A22)</f>
        <v>8740.18</v>
      </c>
      <c r="C22" s="2">
        <f>COUNTIF([1]Sheet1!$A$2:$A$201,A22)</f>
        <v>8</v>
      </c>
      <c r="D22" s="2">
        <f t="shared" si="0"/>
        <v>6</v>
      </c>
      <c r="E22" s="2" t="str">
        <f t="shared" si="1"/>
        <v>High Value</v>
      </c>
      <c r="H22" s="42">
        <v>8</v>
      </c>
      <c r="I22" s="42" t="str">
        <f t="shared" si="2"/>
        <v>CUST012</v>
      </c>
      <c r="J22" s="43">
        <f t="shared" si="3"/>
        <v>8339</v>
      </c>
    </row>
    <row r="23" spans="1:10" x14ac:dyDescent="0.3">
      <c r="A23" s="2" t="s">
        <v>49</v>
      </c>
      <c r="B23" s="3">
        <f>SUMIFS(Sheet1!$E$2:$E$201,Sheet1!$A$2:$A$201,A23)</f>
        <v>4418.2800000000007</v>
      </c>
      <c r="C23" s="2">
        <f>COUNTIF([1]Sheet1!$A$2:$A$201,A23)</f>
        <v>5</v>
      </c>
      <c r="D23" s="2">
        <f t="shared" si="0"/>
        <v>22</v>
      </c>
      <c r="E23" s="2" t="str">
        <f t="shared" si="1"/>
        <v>High Value</v>
      </c>
      <c r="H23" s="42">
        <v>9</v>
      </c>
      <c r="I23" s="42" t="str">
        <f t="shared" si="2"/>
        <v>CUST030</v>
      </c>
      <c r="J23" s="43">
        <f t="shared" si="3"/>
        <v>7928.71</v>
      </c>
    </row>
    <row r="24" spans="1:10" x14ac:dyDescent="0.3">
      <c r="A24" s="2" t="s">
        <v>40</v>
      </c>
      <c r="B24" s="3">
        <f>SUMIFS(Sheet1!$E$2:$E$201,Sheet1!$A$2:$A$201,A24)</f>
        <v>5913.68</v>
      </c>
      <c r="C24" s="2">
        <f>COUNTIF([1]Sheet1!$A$2:$A$201,A24)</f>
        <v>7</v>
      </c>
      <c r="D24" s="2">
        <f t="shared" si="0"/>
        <v>18</v>
      </c>
      <c r="E24" s="2" t="str">
        <f t="shared" si="1"/>
        <v>High Value</v>
      </c>
      <c r="H24" s="42">
        <v>10</v>
      </c>
      <c r="I24" s="42" t="str">
        <f t="shared" si="2"/>
        <v>CUST004</v>
      </c>
      <c r="J24" s="43">
        <f t="shared" si="3"/>
        <v>7813.59</v>
      </c>
    </row>
    <row r="25" spans="1:10" x14ac:dyDescent="0.3">
      <c r="A25" s="2" t="s">
        <v>70</v>
      </c>
      <c r="B25" s="3">
        <f>SUMIFS(Sheet1!$E$2:$E$201,Sheet1!$A$2:$A$201,A25)</f>
        <v>7583.1299999999992</v>
      </c>
      <c r="C25" s="2">
        <f>COUNTIF([1]Sheet1!$A$2:$A$201,A25)</f>
        <v>7</v>
      </c>
      <c r="D25" s="2">
        <f t="shared" si="0"/>
        <v>11</v>
      </c>
      <c r="E25" s="2" t="str">
        <f t="shared" si="1"/>
        <v>High Value</v>
      </c>
      <c r="H25" s="42">
        <v>11</v>
      </c>
      <c r="I25" s="42" t="str">
        <f t="shared" si="2"/>
        <v>CUST024</v>
      </c>
      <c r="J25" s="43">
        <f t="shared" si="3"/>
        <v>7583.1299999999992</v>
      </c>
    </row>
    <row r="26" spans="1:10" x14ac:dyDescent="0.3">
      <c r="A26" s="2" t="s">
        <v>54</v>
      </c>
      <c r="B26" s="3">
        <f>SUMIFS(Sheet1!$E$2:$E$201,Sheet1!$A$2:$A$201,A26)</f>
        <v>6716.52</v>
      </c>
      <c r="C26" s="2">
        <f>COUNTIF([1]Sheet1!$A$2:$A$201,A26)</f>
        <v>6</v>
      </c>
      <c r="D26" s="2">
        <f t="shared" si="0"/>
        <v>13</v>
      </c>
      <c r="E26" s="2" t="str">
        <f t="shared" si="1"/>
        <v>High Value</v>
      </c>
      <c r="H26" s="42">
        <v>12</v>
      </c>
      <c r="I26" s="42" t="str">
        <f t="shared" si="2"/>
        <v>CUST014</v>
      </c>
      <c r="J26" s="43">
        <f t="shared" si="3"/>
        <v>6729.8899999999994</v>
      </c>
    </row>
    <row r="27" spans="1:10" x14ac:dyDescent="0.3">
      <c r="A27" s="2" t="s">
        <v>30</v>
      </c>
      <c r="B27" s="3">
        <f>SUMIFS(Sheet1!$E$2:$E$201,Sheet1!$A$2:$A$201,A27)</f>
        <v>9371.81</v>
      </c>
      <c r="C27" s="2">
        <f>COUNTIF([1]Sheet1!$A$2:$A$201,A27)</f>
        <v>9</v>
      </c>
      <c r="D27" s="2">
        <f t="shared" si="0"/>
        <v>5</v>
      </c>
      <c r="E27" s="2" t="str">
        <f t="shared" si="1"/>
        <v>High Value</v>
      </c>
    </row>
    <row r="28" spans="1:10" x14ac:dyDescent="0.3">
      <c r="A28" s="2" t="s">
        <v>74</v>
      </c>
      <c r="B28" s="3">
        <f>SUMIFS(Sheet1!$E$2:$E$201,Sheet1!$A$2:$A$201,A28)</f>
        <v>3906.04</v>
      </c>
      <c r="C28" s="2">
        <f>COUNTIF([1]Sheet1!$A$2:$A$201,A28)</f>
        <v>5</v>
      </c>
      <c r="D28" s="2">
        <f t="shared" si="0"/>
        <v>26</v>
      </c>
      <c r="E28" s="2" t="str">
        <f t="shared" si="1"/>
        <v>High Value</v>
      </c>
    </row>
    <row r="29" spans="1:10" x14ac:dyDescent="0.3">
      <c r="A29" s="2" t="s">
        <v>52</v>
      </c>
      <c r="B29" s="3">
        <f>SUMIFS(Sheet1!$E$2:$E$201,Sheet1!$A$2:$A$201,A29)</f>
        <v>10293.870000000001</v>
      </c>
      <c r="C29" s="2">
        <f>COUNTIF([1]Sheet1!$A$2:$A$201,A29)</f>
        <v>12</v>
      </c>
      <c r="D29" s="2">
        <f t="shared" si="0"/>
        <v>2</v>
      </c>
      <c r="E29" s="2" t="str">
        <f t="shared" si="1"/>
        <v>High Value</v>
      </c>
    </row>
    <row r="30" spans="1:10" x14ac:dyDescent="0.3">
      <c r="A30" s="2" t="s">
        <v>41</v>
      </c>
      <c r="B30" s="3">
        <f>SUMIFS(Sheet1!$E$2:$E$201,Sheet1!$A$2:$A$201,A30)</f>
        <v>5779.05</v>
      </c>
      <c r="C30" s="2">
        <f>COUNTIF([1]Sheet1!$A$2:$A$201,A30)</f>
        <v>7</v>
      </c>
      <c r="D30" s="2">
        <f t="shared" si="0"/>
        <v>19</v>
      </c>
      <c r="E30" s="2" t="str">
        <f t="shared" si="1"/>
        <v>High Value</v>
      </c>
    </row>
    <row r="31" spans="1:10" x14ac:dyDescent="0.3">
      <c r="A31" s="2" t="s">
        <v>22</v>
      </c>
      <c r="B31" s="3">
        <f>SUMIFS(Sheet1!$E$2:$E$201,Sheet1!$A$2:$A$201,A31)</f>
        <v>7928.71</v>
      </c>
      <c r="C31" s="2">
        <f>COUNTIF([1]Sheet1!$A$2:$A$201,A31)</f>
        <v>9</v>
      </c>
      <c r="D31" s="2">
        <f t="shared" si="0"/>
        <v>9</v>
      </c>
      <c r="E31" s="2" t="str">
        <f t="shared" si="1"/>
        <v>High Value</v>
      </c>
    </row>
  </sheetData>
  <conditionalFormatting sqref="A2:E31">
    <cfRule type="expression" dxfId="1" priority="2">
      <formula>$D2&lt;=10</formula>
    </cfRule>
  </conditionalFormatting>
  <conditionalFormatting sqref="B2:B31">
    <cfRule type="top10" dxfId="0" priority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6537-600D-44CC-9B35-C6F3E3CB7500}">
  <dimension ref="A1:E14"/>
  <sheetViews>
    <sheetView workbookViewId="0">
      <selection activeCell="D19" sqref="D19"/>
    </sheetView>
  </sheetViews>
  <sheetFormatPr defaultRowHeight="14.4" x14ac:dyDescent="0.3"/>
  <cols>
    <col min="1" max="1" width="24.109375" bestFit="1" customWidth="1"/>
    <col min="2" max="2" width="10.6640625" bestFit="1" customWidth="1"/>
    <col min="3" max="3" width="16" customWidth="1"/>
    <col min="4" max="4" width="20" customWidth="1"/>
    <col min="5" max="5" width="12.21875" bestFit="1" customWidth="1"/>
    <col min="7" max="7" width="8.88671875" customWidth="1"/>
  </cols>
  <sheetData>
    <row r="1" spans="1:5" x14ac:dyDescent="0.3">
      <c r="A1" s="4" t="s">
        <v>80</v>
      </c>
      <c r="B1" s="5">
        <v>0.1</v>
      </c>
    </row>
    <row r="2" spans="1:5" x14ac:dyDescent="0.3">
      <c r="A2" s="4" t="s">
        <v>81</v>
      </c>
      <c r="B2" s="17">
        <f>SUM(Sheet1!I2:I201)</f>
        <v>68287.010000000009</v>
      </c>
    </row>
    <row r="3" spans="1:5" x14ac:dyDescent="0.3">
      <c r="A3" s="4" t="s">
        <v>82</v>
      </c>
      <c r="B3" s="17" cm="1">
        <f t="array" ref="B3">SUM(Sheet1!$I$2:$I$201)+SUMPRODUCT(Sheet1!$E$2:$E$201/(1-Sheet1!$G$2:$G$201))*(1-B1)-SUM(Sheet1!$E$2:$E$201)</f>
        <v>69293.724581269402</v>
      </c>
    </row>
    <row r="4" spans="1:5" x14ac:dyDescent="0.3">
      <c r="A4" s="4" t="s">
        <v>83</v>
      </c>
      <c r="B4" s="17">
        <f>B3-B2</f>
        <v>1006.7145812693925</v>
      </c>
    </row>
    <row r="5" spans="1:5" x14ac:dyDescent="0.3">
      <c r="A5" s="4" t="s">
        <v>84</v>
      </c>
      <c r="B5" s="18">
        <f>AVERAGE(Sheet1!G2:G201)</f>
        <v>9.7250000000000003E-2</v>
      </c>
    </row>
    <row r="8" spans="1:5" x14ac:dyDescent="0.3">
      <c r="A8" s="20" t="s">
        <v>6</v>
      </c>
      <c r="B8" s="20" t="s">
        <v>85</v>
      </c>
      <c r="C8" s="20" t="s">
        <v>86</v>
      </c>
      <c r="D8" s="20" t="s">
        <v>87</v>
      </c>
      <c r="E8" s="20" t="s">
        <v>88</v>
      </c>
    </row>
    <row r="9" spans="1:5" x14ac:dyDescent="0.3">
      <c r="A9" s="21">
        <v>0</v>
      </c>
      <c r="B9" s="22">
        <f>SUMPRODUCT([1]Sheet1!$E$2:$E$201/(1-[1]Sheet1!$G$2:$G$201))*(1-A9)</f>
        <v>218027.19397918813</v>
      </c>
      <c r="C9" s="22">
        <f>SUM([1]Sheet1!$I$2:$I$201)+B9-SUM([1]Sheet1!$E$2:$E$201)</f>
        <v>91096.443979188189</v>
      </c>
      <c r="D9" s="22">
        <f t="shared" ref="D9:D14" si="0">C9-$B$2</f>
        <v>22809.433979188179</v>
      </c>
      <c r="E9" s="23">
        <f t="shared" ref="E9:E14" si="1">C9/B9</f>
        <v>0.41782147592049385</v>
      </c>
    </row>
    <row r="10" spans="1:5" x14ac:dyDescent="0.3">
      <c r="A10" s="21">
        <v>0.05</v>
      </c>
      <c r="B10" s="22">
        <f>SUMPRODUCT([1]Sheet1!$E$2:$E$201/(1-[1]Sheet1!$G$2:$G$201))*(1-A10)</f>
        <v>207125.83428022871</v>
      </c>
      <c r="C10" s="22">
        <f>SUM([1]Sheet1!$I$2:$I$201)+B10-SUM([1]Sheet1!$E$2:$E$201)</f>
        <v>80195.084280228795</v>
      </c>
      <c r="D10" s="22">
        <f t="shared" si="0"/>
        <v>11908.074280228786</v>
      </c>
      <c r="E10" s="23">
        <f t="shared" si="1"/>
        <v>0.38718050096894097</v>
      </c>
    </row>
    <row r="11" spans="1:5" x14ac:dyDescent="0.3">
      <c r="A11" s="21">
        <v>0.1</v>
      </c>
      <c r="B11" s="22">
        <f>SUMPRODUCT([1]Sheet1!$E$2:$E$201/(1-[1]Sheet1!$G$2:$G$201))*(1-A11)</f>
        <v>196224.47458126931</v>
      </c>
      <c r="C11" s="22">
        <f>SUM([1]Sheet1!$I$2:$I$201)+B11-SUM([1]Sheet1!$E$2:$E$201)</f>
        <v>69293.724581269402</v>
      </c>
      <c r="D11" s="22">
        <f t="shared" si="0"/>
        <v>1006.7145812693925</v>
      </c>
      <c r="E11" s="23">
        <f t="shared" si="1"/>
        <v>0.35313497324499327</v>
      </c>
    </row>
    <row r="12" spans="1:5" x14ac:dyDescent="0.3">
      <c r="A12" s="21">
        <v>0.15</v>
      </c>
      <c r="B12" s="22">
        <f>SUMPRODUCT([1]Sheet1!$E$2:$E$201/(1-[1]Sheet1!$G$2:$G$201))*(1-A12)</f>
        <v>185323.11488230989</v>
      </c>
      <c r="C12" s="22">
        <f>SUM([1]Sheet1!$I$2:$I$201)+B12-SUM([1]Sheet1!$E$2:$E$201)</f>
        <v>58392.364882309979</v>
      </c>
      <c r="D12" s="22">
        <f t="shared" si="0"/>
        <v>-9894.64511769003</v>
      </c>
      <c r="E12" s="23">
        <f t="shared" si="1"/>
        <v>0.31508408931822812</v>
      </c>
    </row>
    <row r="13" spans="1:5" x14ac:dyDescent="0.3">
      <c r="A13" s="21">
        <v>0.2</v>
      </c>
      <c r="B13" s="22">
        <f>SUMPRODUCT([1]Sheet1!$E$2:$E$201/(1-[1]Sheet1!$G$2:$G$201))*(1-A13)</f>
        <v>174421.75518335053</v>
      </c>
      <c r="C13" s="22">
        <f>SUM([1]Sheet1!$I$2:$I$201)+B13-SUM([1]Sheet1!$E$2:$E$201)</f>
        <v>47491.005183350615</v>
      </c>
      <c r="D13" s="22">
        <f t="shared" si="0"/>
        <v>-20796.004816649394</v>
      </c>
      <c r="E13" s="23">
        <f t="shared" si="1"/>
        <v>0.27227684490061754</v>
      </c>
    </row>
    <row r="14" spans="1:5" x14ac:dyDescent="0.3">
      <c r="A14" s="21">
        <v>0.25</v>
      </c>
      <c r="B14" s="22">
        <f>SUMPRODUCT([1]Sheet1!$E$2:$E$201/(1-[1]Sheet1!$G$2:$G$201))*(1-A14)</f>
        <v>163520.39548439111</v>
      </c>
      <c r="C14" s="22">
        <f>SUM([1]Sheet1!$I$2:$I$201)+B14-SUM([1]Sheet1!$E$2:$E$201)</f>
        <v>36589.645484391192</v>
      </c>
      <c r="D14" s="22">
        <f t="shared" si="0"/>
        <v>-31697.364515608817</v>
      </c>
      <c r="E14" s="23">
        <f t="shared" si="1"/>
        <v>0.22376196789399197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E68C-A745-4F6F-BEAA-F52D7EB8C2E5}">
  <dimension ref="A1:I18"/>
  <sheetViews>
    <sheetView workbookViewId="0">
      <selection activeCell="Q9" sqref="Q9"/>
    </sheetView>
  </sheetViews>
  <sheetFormatPr defaultRowHeight="14.4" x14ac:dyDescent="0.3"/>
  <cols>
    <col min="1" max="1" width="21.88671875" bestFit="1" customWidth="1"/>
    <col min="2" max="2" width="13.33203125" bestFit="1" customWidth="1"/>
    <col min="3" max="3" width="14.88671875" bestFit="1" customWidth="1"/>
    <col min="4" max="4" width="14" bestFit="1" customWidth="1"/>
    <col min="5" max="5" width="13.6640625" bestFit="1" customWidth="1"/>
    <col min="6" max="6" width="14.6640625" bestFit="1" customWidth="1"/>
    <col min="7" max="7" width="13.33203125" bestFit="1" customWidth="1"/>
    <col min="8" max="8" width="14" bestFit="1" customWidth="1"/>
    <col min="9" max="9" width="13.44140625" bestFit="1" customWidth="1"/>
  </cols>
  <sheetData>
    <row r="1" spans="1:9" x14ac:dyDescent="0.3">
      <c r="A1" s="26" t="s">
        <v>89</v>
      </c>
      <c r="B1" s="27"/>
      <c r="C1" s="27"/>
      <c r="D1" s="27"/>
      <c r="E1" s="27"/>
      <c r="F1" s="27"/>
      <c r="G1" s="27"/>
      <c r="H1" s="27"/>
      <c r="I1" s="27"/>
    </row>
    <row r="2" spans="1:9" ht="15" thickBot="1" x14ac:dyDescent="0.35">
      <c r="A2" s="27"/>
      <c r="B2" s="27"/>
      <c r="C2" s="28"/>
      <c r="D2" s="27"/>
      <c r="E2" s="27"/>
      <c r="F2" s="27"/>
      <c r="G2" s="27"/>
      <c r="H2" s="27"/>
      <c r="I2" s="27"/>
    </row>
    <row r="3" spans="1:9" x14ac:dyDescent="0.3">
      <c r="A3" s="29" t="s">
        <v>90</v>
      </c>
      <c r="B3" s="32"/>
      <c r="C3" s="27"/>
      <c r="D3" s="27"/>
      <c r="E3" s="27"/>
      <c r="F3" s="27"/>
      <c r="G3" s="27"/>
      <c r="H3" s="27"/>
      <c r="I3" s="27"/>
    </row>
    <row r="4" spans="1:9" x14ac:dyDescent="0.3">
      <c r="A4" s="27" t="s">
        <v>91</v>
      </c>
      <c r="B4" s="27">
        <v>0.77340306414342619</v>
      </c>
      <c r="C4" s="27"/>
      <c r="D4" s="27"/>
      <c r="E4" s="27"/>
      <c r="F4" s="27"/>
      <c r="G4" s="27"/>
      <c r="H4" s="27"/>
      <c r="I4" s="27"/>
    </row>
    <row r="5" spans="1:9" x14ac:dyDescent="0.3">
      <c r="A5" s="27" t="s">
        <v>92</v>
      </c>
      <c r="B5" s="27">
        <v>0.59815229962644056</v>
      </c>
      <c r="C5" s="27"/>
      <c r="D5" s="27"/>
      <c r="E5" s="27"/>
      <c r="F5" s="27"/>
      <c r="G5" s="27"/>
      <c r="H5" s="27"/>
      <c r="I5" s="27"/>
    </row>
    <row r="6" spans="1:9" x14ac:dyDescent="0.3">
      <c r="A6" s="27" t="s">
        <v>93</v>
      </c>
      <c r="B6" s="27">
        <v>0.59612276578617007</v>
      </c>
      <c r="C6" s="27"/>
      <c r="D6" s="27"/>
      <c r="E6" s="27"/>
      <c r="F6" s="27"/>
      <c r="G6" s="27"/>
      <c r="H6" s="27"/>
      <c r="I6" s="27"/>
    </row>
    <row r="7" spans="1:9" x14ac:dyDescent="0.3">
      <c r="A7" s="27" t="s">
        <v>94</v>
      </c>
      <c r="B7" s="27">
        <v>86.281230529665166</v>
      </c>
      <c r="C7" s="27"/>
      <c r="D7" s="27"/>
      <c r="E7" s="27"/>
      <c r="F7" s="27"/>
      <c r="G7" s="27"/>
      <c r="H7" s="27"/>
      <c r="I7" s="27"/>
    </row>
    <row r="8" spans="1:9" ht="15" thickBot="1" x14ac:dyDescent="0.35">
      <c r="A8" s="30" t="s">
        <v>95</v>
      </c>
      <c r="B8" s="30">
        <v>200</v>
      </c>
      <c r="C8" s="27"/>
      <c r="D8" s="27"/>
      <c r="E8" s="27"/>
      <c r="F8" s="27"/>
      <c r="G8" s="27"/>
      <c r="H8" s="27"/>
      <c r="I8" s="27"/>
    </row>
    <row r="9" spans="1:9" x14ac:dyDescent="0.3">
      <c r="A9" s="27"/>
      <c r="B9" s="27"/>
      <c r="C9" s="27"/>
      <c r="D9" s="27"/>
      <c r="E9" s="27"/>
      <c r="F9" s="27"/>
      <c r="G9" s="27"/>
      <c r="H9" s="27"/>
      <c r="I9" s="27"/>
    </row>
    <row r="10" spans="1:9" ht="15" thickBot="1" x14ac:dyDescent="0.35">
      <c r="A10" s="26" t="s">
        <v>96</v>
      </c>
      <c r="B10" s="27"/>
      <c r="C10" s="27"/>
      <c r="D10" s="27"/>
      <c r="E10" s="27"/>
      <c r="F10" s="27"/>
      <c r="G10" s="27"/>
      <c r="H10" s="27"/>
      <c r="I10" s="27"/>
    </row>
    <row r="11" spans="1:9" x14ac:dyDescent="0.3">
      <c r="A11" s="31"/>
      <c r="B11" s="31" t="s">
        <v>101</v>
      </c>
      <c r="C11" s="31" t="s">
        <v>102</v>
      </c>
      <c r="D11" s="31" t="s">
        <v>103</v>
      </c>
      <c r="E11" s="31" t="s">
        <v>104</v>
      </c>
      <c r="F11" s="31" t="s">
        <v>105</v>
      </c>
      <c r="G11" s="27"/>
      <c r="H11" s="27"/>
      <c r="I11" s="27"/>
    </row>
    <row r="12" spans="1:9" x14ac:dyDescent="0.3">
      <c r="A12" s="27" t="s">
        <v>97</v>
      </c>
      <c r="B12" s="27">
        <v>1</v>
      </c>
      <c r="C12" s="27">
        <v>2194058.1833402822</v>
      </c>
      <c r="D12" s="27">
        <v>2194058.1833402822</v>
      </c>
      <c r="E12" s="27">
        <v>294.72398427548114</v>
      </c>
      <c r="F12" s="27">
        <v>4.6269367558910499E-41</v>
      </c>
      <c r="G12" s="27"/>
      <c r="H12" s="27"/>
      <c r="I12" s="27"/>
    </row>
    <row r="13" spans="1:9" x14ac:dyDescent="0.3">
      <c r="A13" s="27" t="s">
        <v>98</v>
      </c>
      <c r="B13" s="27">
        <v>198</v>
      </c>
      <c r="C13" s="27">
        <v>1474001.2468592182</v>
      </c>
      <c r="D13" s="27">
        <v>7444.4507417132236</v>
      </c>
      <c r="E13" s="27"/>
      <c r="F13" s="27"/>
      <c r="G13" s="27"/>
      <c r="H13" s="27"/>
      <c r="I13" s="27"/>
    </row>
    <row r="14" spans="1:9" ht="15" thickBot="1" x14ac:dyDescent="0.35">
      <c r="A14" s="30" t="s">
        <v>99</v>
      </c>
      <c r="B14" s="30">
        <v>199</v>
      </c>
      <c r="C14" s="30">
        <v>3668059.4301995002</v>
      </c>
      <c r="D14" s="30"/>
      <c r="E14" s="30"/>
      <c r="F14" s="30"/>
      <c r="G14" s="27"/>
      <c r="H14" s="27"/>
      <c r="I14" s="27"/>
    </row>
    <row r="15" spans="1:9" ht="15" thickBot="1" x14ac:dyDescent="0.35">
      <c r="A15" s="27"/>
      <c r="B15" s="27"/>
      <c r="C15" s="27"/>
      <c r="D15" s="27"/>
      <c r="E15" s="27"/>
      <c r="F15" s="27"/>
      <c r="G15" s="27"/>
      <c r="H15" s="27"/>
      <c r="I15" s="27"/>
    </row>
    <row r="16" spans="1:9" x14ac:dyDescent="0.3">
      <c r="A16" s="31"/>
      <c r="B16" s="31" t="s">
        <v>106</v>
      </c>
      <c r="C16" s="31" t="s">
        <v>94</v>
      </c>
      <c r="D16" s="31" t="s">
        <v>107</v>
      </c>
      <c r="E16" s="31" t="s">
        <v>108</v>
      </c>
      <c r="F16" s="31" t="s">
        <v>109</v>
      </c>
      <c r="G16" s="31" t="s">
        <v>110</v>
      </c>
      <c r="H16" s="31" t="s">
        <v>111</v>
      </c>
      <c r="I16" s="31" t="s">
        <v>112</v>
      </c>
    </row>
    <row r="17" spans="1:9" x14ac:dyDescent="0.3">
      <c r="A17" s="27" t="s">
        <v>100</v>
      </c>
      <c r="B17" s="27">
        <v>-1.0315504901911368</v>
      </c>
      <c r="C17" s="27">
        <v>20.860617005445505</v>
      </c>
      <c r="D17" s="27">
        <v>-4.9449663445805959E-2</v>
      </c>
      <c r="E17" s="27">
        <v>0.96061079696907459</v>
      </c>
      <c r="F17" s="27">
        <v>-42.169051823378965</v>
      </c>
      <c r="G17" s="27">
        <v>40.105950842996691</v>
      </c>
      <c r="H17" s="27">
        <v>-42.169051823378965</v>
      </c>
      <c r="I17" s="27">
        <v>40.105950842996691</v>
      </c>
    </row>
    <row r="18" spans="1:9" ht="15" thickBot="1" x14ac:dyDescent="0.35">
      <c r="A18" s="30" t="s">
        <v>4</v>
      </c>
      <c r="B18" s="30">
        <v>0.35085598819512254</v>
      </c>
      <c r="C18" s="30">
        <v>2.0437188630135626E-2</v>
      </c>
      <c r="D18" s="30">
        <v>17.167527028535048</v>
      </c>
      <c r="E18" s="30">
        <v>4.6269367558907868E-41</v>
      </c>
      <c r="F18" s="30">
        <v>0.31055349501865764</v>
      </c>
      <c r="G18" s="30">
        <v>0.39115848137158743</v>
      </c>
      <c r="H18" s="30">
        <v>0.31055349501865764</v>
      </c>
      <c r="I18" s="30">
        <v>0.39115848137158743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6DCE-1742-493B-B5C2-23404F787CC2}">
  <dimension ref="A1:H15"/>
  <sheetViews>
    <sheetView workbookViewId="0">
      <selection activeCell="Q16" sqref="Q15:Q16"/>
    </sheetView>
  </sheetViews>
  <sheetFormatPr defaultRowHeight="14.4" x14ac:dyDescent="0.3"/>
  <cols>
    <col min="1" max="1" width="16.109375" bestFit="1" customWidth="1"/>
    <col min="2" max="2" width="12.6640625" bestFit="1" customWidth="1"/>
    <col min="3" max="3" width="16.109375" bestFit="1" customWidth="1"/>
    <col min="4" max="4" width="12.6640625" bestFit="1" customWidth="1"/>
    <col min="5" max="5" width="16.109375" bestFit="1" customWidth="1"/>
    <col min="6" max="6" width="12.6640625" bestFit="1" customWidth="1"/>
    <col min="7" max="7" width="16.109375" bestFit="1" customWidth="1"/>
    <col min="8" max="8" width="12" bestFit="1" customWidth="1"/>
  </cols>
  <sheetData>
    <row r="1" spans="1:8" x14ac:dyDescent="0.3">
      <c r="A1" s="25" t="s">
        <v>4</v>
      </c>
      <c r="B1" s="25"/>
      <c r="C1" s="25" t="s">
        <v>5</v>
      </c>
      <c r="D1" s="25"/>
      <c r="E1" s="25" t="s">
        <v>6</v>
      </c>
      <c r="F1" s="25"/>
      <c r="G1" s="25" t="s">
        <v>8</v>
      </c>
      <c r="H1" s="25"/>
    </row>
    <row r="3" spans="1:8" x14ac:dyDescent="0.3">
      <c r="A3" t="s">
        <v>113</v>
      </c>
      <c r="B3">
        <v>976.08879999999965</v>
      </c>
      <c r="C3" t="s">
        <v>113</v>
      </c>
      <c r="D3">
        <v>9.9949999999999992</v>
      </c>
      <c r="E3" t="s">
        <v>113</v>
      </c>
      <c r="F3">
        <v>9.7250000000000003E-2</v>
      </c>
      <c r="G3" t="s">
        <v>113</v>
      </c>
      <c r="H3">
        <v>341.43505000000005</v>
      </c>
    </row>
    <row r="4" spans="1:8" x14ac:dyDescent="0.3">
      <c r="A4" t="s">
        <v>94</v>
      </c>
      <c r="B4">
        <v>21.161850448978406</v>
      </c>
      <c r="C4" t="s">
        <v>94</v>
      </c>
      <c r="D4">
        <v>0.39927682743257598</v>
      </c>
      <c r="E4" t="s">
        <v>94</v>
      </c>
      <c r="F4">
        <v>5.1142413732752686E-3</v>
      </c>
      <c r="G4" t="s">
        <v>94</v>
      </c>
      <c r="H4">
        <v>9.6001196472332531</v>
      </c>
    </row>
    <row r="5" spans="1:8" x14ac:dyDescent="0.3">
      <c r="A5" t="s">
        <v>114</v>
      </c>
      <c r="B5">
        <v>976.72</v>
      </c>
      <c r="C5" t="s">
        <v>114</v>
      </c>
      <c r="D5">
        <v>10</v>
      </c>
      <c r="E5" t="s">
        <v>114</v>
      </c>
      <c r="F5">
        <v>0.1</v>
      </c>
      <c r="G5" t="s">
        <v>114</v>
      </c>
      <c r="H5">
        <v>332.255</v>
      </c>
    </row>
    <row r="6" spans="1:8" x14ac:dyDescent="0.3">
      <c r="A6" t="s">
        <v>115</v>
      </c>
      <c r="B6" t="e">
        <v>#N/A</v>
      </c>
      <c r="C6" t="s">
        <v>115</v>
      </c>
      <c r="D6">
        <v>8</v>
      </c>
      <c r="E6" t="s">
        <v>115</v>
      </c>
      <c r="F6">
        <v>0.2</v>
      </c>
      <c r="G6" t="s">
        <v>115</v>
      </c>
      <c r="H6" t="e">
        <v>#N/A</v>
      </c>
    </row>
    <row r="7" spans="1:8" x14ac:dyDescent="0.3">
      <c r="A7" t="s">
        <v>116</v>
      </c>
      <c r="B7">
        <v>299.27375909856431</v>
      </c>
      <c r="C7" t="s">
        <v>116</v>
      </c>
      <c r="D7">
        <v>5.6466270449645082</v>
      </c>
      <c r="E7" t="s">
        <v>116</v>
      </c>
      <c r="F7">
        <v>7.232629511335488E-2</v>
      </c>
      <c r="G7" t="s">
        <v>116</v>
      </c>
      <c r="H7">
        <v>135.7661940552168</v>
      </c>
    </row>
    <row r="8" spans="1:8" x14ac:dyDescent="0.3">
      <c r="A8" t="s">
        <v>117</v>
      </c>
      <c r="B8">
        <v>89564.782884985514</v>
      </c>
      <c r="C8" t="s">
        <v>117</v>
      </c>
      <c r="D8">
        <v>31.884396984924617</v>
      </c>
      <c r="E8" t="s">
        <v>117</v>
      </c>
      <c r="F8">
        <v>5.2310929648241022E-3</v>
      </c>
      <c r="G8" t="s">
        <v>117</v>
      </c>
      <c r="H8">
        <v>18432.459448238787</v>
      </c>
    </row>
    <row r="9" spans="1:8" x14ac:dyDescent="0.3">
      <c r="A9" t="s">
        <v>118</v>
      </c>
      <c r="B9">
        <v>-8.8595231919740502E-2</v>
      </c>
      <c r="C9" t="s">
        <v>118</v>
      </c>
      <c r="D9">
        <v>-1.2091053826620759</v>
      </c>
      <c r="E9" t="s">
        <v>118</v>
      </c>
      <c r="F9">
        <v>-1.3257012415855784</v>
      </c>
      <c r="G9" t="s">
        <v>118</v>
      </c>
      <c r="H9">
        <v>0.26450643813582442</v>
      </c>
    </row>
    <row r="10" spans="1:8" x14ac:dyDescent="0.3">
      <c r="A10" t="s">
        <v>119</v>
      </c>
      <c r="B10">
        <v>0.14685796564193557</v>
      </c>
      <c r="C10" t="s">
        <v>119</v>
      </c>
      <c r="D10">
        <v>6.084586432077814E-2</v>
      </c>
      <c r="E10" t="s">
        <v>119</v>
      </c>
      <c r="F10">
        <v>9.6827385576684841E-2</v>
      </c>
      <c r="G10" t="s">
        <v>119</v>
      </c>
      <c r="H10">
        <v>0.57339636063424715</v>
      </c>
    </row>
    <row r="11" spans="1:8" x14ac:dyDescent="0.3">
      <c r="A11" t="s">
        <v>120</v>
      </c>
      <c r="B11">
        <v>1665.15</v>
      </c>
      <c r="C11" t="s">
        <v>120</v>
      </c>
      <c r="D11">
        <v>18</v>
      </c>
      <c r="E11" t="s">
        <v>120</v>
      </c>
      <c r="F11">
        <v>0.2</v>
      </c>
      <c r="G11" t="s">
        <v>120</v>
      </c>
      <c r="H11">
        <v>704.83</v>
      </c>
    </row>
    <row r="12" spans="1:8" x14ac:dyDescent="0.3">
      <c r="A12" t="s">
        <v>121</v>
      </c>
      <c r="B12">
        <v>258.51</v>
      </c>
      <c r="C12" t="s">
        <v>121</v>
      </c>
      <c r="D12">
        <v>1</v>
      </c>
      <c r="E12" t="s">
        <v>121</v>
      </c>
      <c r="F12">
        <v>0</v>
      </c>
      <c r="G12" t="s">
        <v>121</v>
      </c>
      <c r="H12">
        <v>64.63</v>
      </c>
    </row>
    <row r="13" spans="1:8" x14ac:dyDescent="0.3">
      <c r="A13" t="s">
        <v>122</v>
      </c>
      <c r="B13">
        <v>1923.66</v>
      </c>
      <c r="C13" t="s">
        <v>122</v>
      </c>
      <c r="D13">
        <v>19</v>
      </c>
      <c r="E13" t="s">
        <v>122</v>
      </c>
      <c r="F13">
        <v>0.2</v>
      </c>
      <c r="G13" t="s">
        <v>122</v>
      </c>
      <c r="H13">
        <v>769.46</v>
      </c>
    </row>
    <row r="14" spans="1:8" x14ac:dyDescent="0.3">
      <c r="A14" t="s">
        <v>123</v>
      </c>
      <c r="B14">
        <v>195217.75999999992</v>
      </c>
      <c r="C14" t="s">
        <v>123</v>
      </c>
      <c r="D14">
        <v>1999</v>
      </c>
      <c r="E14" t="s">
        <v>123</v>
      </c>
      <c r="F14">
        <v>19.45</v>
      </c>
      <c r="G14" t="s">
        <v>123</v>
      </c>
      <c r="H14">
        <v>68287.010000000009</v>
      </c>
    </row>
    <row r="15" spans="1:8" ht="15" thickBot="1" x14ac:dyDescent="0.35">
      <c r="A15" s="24" t="s">
        <v>124</v>
      </c>
      <c r="B15" s="24">
        <v>200</v>
      </c>
      <c r="C15" s="24" t="s">
        <v>124</v>
      </c>
      <c r="D15" s="24">
        <v>200</v>
      </c>
      <c r="E15" s="24" t="s">
        <v>124</v>
      </c>
      <c r="F15" s="24">
        <v>200</v>
      </c>
      <c r="G15" s="24" t="s">
        <v>124</v>
      </c>
      <c r="H15" s="24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733A-8D21-4A31-B70E-26B498A67171}">
  <dimension ref="A3:C19"/>
  <sheetViews>
    <sheetView workbookViewId="0">
      <selection activeCell="N13" sqref="N13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1.88671875" bestFit="1" customWidth="1"/>
  </cols>
  <sheetData>
    <row r="3" spans="1:3" x14ac:dyDescent="0.3">
      <c r="A3" s="33" t="s">
        <v>125</v>
      </c>
      <c r="B3" t="s">
        <v>129</v>
      </c>
      <c r="C3" t="s">
        <v>142</v>
      </c>
    </row>
    <row r="4" spans="1:3" x14ac:dyDescent="0.3">
      <c r="A4" s="34" t="s">
        <v>127</v>
      </c>
      <c r="B4" s="17">
        <v>145429.36000000002</v>
      </c>
    </row>
    <row r="5" spans="1:3" x14ac:dyDescent="0.3">
      <c r="A5" s="35" t="s">
        <v>130</v>
      </c>
      <c r="B5" s="17">
        <v>19029.96</v>
      </c>
      <c r="C5" s="6">
        <f>(B6-B5)/B5</f>
        <v>-2.7463010957458799E-2</v>
      </c>
    </row>
    <row r="6" spans="1:3" x14ac:dyDescent="0.3">
      <c r="A6" s="35" t="s">
        <v>131</v>
      </c>
      <c r="B6" s="17">
        <v>18507.339999999997</v>
      </c>
      <c r="C6" s="6">
        <f t="shared" ref="C6:C12" si="0">(B7-B6)/B6</f>
        <v>9.0783980842195702E-2</v>
      </c>
    </row>
    <row r="7" spans="1:3" x14ac:dyDescent="0.3">
      <c r="A7" s="35" t="s">
        <v>132</v>
      </c>
      <c r="B7" s="17">
        <v>20187.509999999998</v>
      </c>
      <c r="C7" s="6">
        <f t="shared" si="0"/>
        <v>-0.42493947990614001</v>
      </c>
    </row>
    <row r="8" spans="1:3" x14ac:dyDescent="0.3">
      <c r="A8" s="35" t="s">
        <v>133</v>
      </c>
      <c r="B8" s="17">
        <v>11609.039999999999</v>
      </c>
      <c r="C8" s="6">
        <f t="shared" si="0"/>
        <v>-0.13070331396911375</v>
      </c>
    </row>
    <row r="9" spans="1:3" x14ac:dyDescent="0.3">
      <c r="A9" s="35" t="s">
        <v>134</v>
      </c>
      <c r="B9" s="17">
        <v>10091.699999999999</v>
      </c>
      <c r="C9" s="6">
        <f t="shared" si="0"/>
        <v>1.0346918755016496</v>
      </c>
    </row>
    <row r="10" spans="1:3" x14ac:dyDescent="0.3">
      <c r="A10" s="35" t="s">
        <v>135</v>
      </c>
      <c r="B10" s="17">
        <v>20533.499999999996</v>
      </c>
      <c r="C10" s="6">
        <f t="shared" si="0"/>
        <v>-0.30770496992719193</v>
      </c>
    </row>
    <row r="11" spans="1:3" x14ac:dyDescent="0.3">
      <c r="A11" s="35" t="s">
        <v>136</v>
      </c>
      <c r="B11" s="17">
        <v>14215.240000000002</v>
      </c>
      <c r="C11" s="6">
        <f t="shared" si="0"/>
        <v>0.4164396802305132</v>
      </c>
    </row>
    <row r="12" spans="1:3" x14ac:dyDescent="0.3">
      <c r="A12" s="35" t="s">
        <v>137</v>
      </c>
      <c r="B12" s="17">
        <v>20135.030000000002</v>
      </c>
      <c r="C12" s="6">
        <f t="shared" si="0"/>
        <v>-0.44772667336477773</v>
      </c>
    </row>
    <row r="13" spans="1:3" x14ac:dyDescent="0.3">
      <c r="A13" s="35" t="s">
        <v>138</v>
      </c>
      <c r="B13" s="17">
        <v>11120.04</v>
      </c>
      <c r="C13" s="6"/>
    </row>
    <row r="14" spans="1:3" x14ac:dyDescent="0.3">
      <c r="A14" s="34" t="s">
        <v>128</v>
      </c>
      <c r="B14" s="17">
        <v>49788.399999999994</v>
      </c>
      <c r="C14" s="6"/>
    </row>
    <row r="15" spans="1:3" x14ac:dyDescent="0.3">
      <c r="A15" s="35" t="s">
        <v>139</v>
      </c>
      <c r="B15" s="17">
        <v>14914.650000000001</v>
      </c>
      <c r="C15" s="6">
        <f>(B15-B13)/B13</f>
        <v>0.34124067899036337</v>
      </c>
    </row>
    <row r="16" spans="1:3" x14ac:dyDescent="0.3">
      <c r="A16" s="35" t="s">
        <v>140</v>
      </c>
      <c r="B16" s="17">
        <v>14006.359999999999</v>
      </c>
      <c r="C16" s="6">
        <f>(B16-B15)/B15</f>
        <v>-6.0899183018039482E-2</v>
      </c>
    </row>
    <row r="17" spans="1:3" x14ac:dyDescent="0.3">
      <c r="A17" s="35" t="s">
        <v>141</v>
      </c>
      <c r="B17" s="17">
        <v>17655.219999999998</v>
      </c>
      <c r="C17" s="6">
        <f>(B17-B16)/B16</f>
        <v>0.26051450912299834</v>
      </c>
    </row>
    <row r="18" spans="1:3" x14ac:dyDescent="0.3">
      <c r="A18" s="35" t="s">
        <v>130</v>
      </c>
      <c r="B18" s="17">
        <v>3212.17</v>
      </c>
      <c r="C18" s="6">
        <f>(B18-B17)/B17</f>
        <v>-0.81806117397574196</v>
      </c>
    </row>
    <row r="19" spans="1:3" x14ac:dyDescent="0.3">
      <c r="A19" s="34" t="s">
        <v>126</v>
      </c>
      <c r="B19" s="17">
        <v>195217.76</v>
      </c>
      <c r="C19" s="6"/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A73A2DB-D5D1-4FBD-B5CA-A632137BD17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C5:C19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E313-6241-456A-A0DD-D138D50B96B0}">
  <dimension ref="A1:L201"/>
  <sheetViews>
    <sheetView zoomScaleNormal="100" workbookViewId="0">
      <selection activeCell="O14" sqref="O14"/>
    </sheetView>
  </sheetViews>
  <sheetFormatPr defaultRowHeight="14.4" x14ac:dyDescent="0.3"/>
  <cols>
    <col min="1" max="1" width="11.88671875" bestFit="1" customWidth="1"/>
    <col min="2" max="2" width="15.6640625" bestFit="1" customWidth="1"/>
    <col min="3" max="3" width="6.88671875" bestFit="1" customWidth="1"/>
    <col min="4" max="4" width="16.33203125" bestFit="1" customWidth="1"/>
    <col min="5" max="5" width="7.5546875" bestFit="1" customWidth="1"/>
    <col min="6" max="7" width="8.33203125" bestFit="1" customWidth="1"/>
    <col min="8" max="8" width="7" bestFit="1" customWidth="1"/>
    <col min="9" max="9" width="16.77734375" bestFit="1" customWidth="1"/>
    <col min="10" max="10" width="7" bestFit="1" customWidth="1"/>
    <col min="12" max="12" width="18.21875" bestFit="1" customWidth="1"/>
  </cols>
  <sheetData>
    <row r="1" spans="1:12" ht="15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5" t="s">
        <v>4</v>
      </c>
      <c r="F1" s="12" t="s">
        <v>5</v>
      </c>
      <c r="G1" s="13" t="s">
        <v>6</v>
      </c>
      <c r="H1" s="12" t="s">
        <v>8</v>
      </c>
      <c r="I1" s="14" t="s">
        <v>7</v>
      </c>
      <c r="J1" s="12" t="s">
        <v>8</v>
      </c>
      <c r="L1" t="s">
        <v>143</v>
      </c>
    </row>
    <row r="2" spans="1:12" ht="15" thickBot="1" x14ac:dyDescent="0.35">
      <c r="A2" s="8" t="s">
        <v>9</v>
      </c>
      <c r="B2" s="8" t="s">
        <v>10</v>
      </c>
      <c r="C2" s="8" t="s">
        <v>11</v>
      </c>
      <c r="D2" s="8" t="s">
        <v>12</v>
      </c>
      <c r="E2" s="16">
        <v>1036.0899999999999</v>
      </c>
      <c r="F2" s="8">
        <v>4</v>
      </c>
      <c r="G2" s="9">
        <v>0.2</v>
      </c>
      <c r="H2" s="8">
        <v>331.55</v>
      </c>
      <c r="I2" s="10">
        <v>45392</v>
      </c>
      <c r="J2" s="8">
        <v>331.55</v>
      </c>
      <c r="L2" s="36">
        <f ca="1">NOW()</f>
        <v>46310.478143171298</v>
      </c>
    </row>
    <row r="3" spans="1:12" ht="15" thickBot="1" x14ac:dyDescent="0.35">
      <c r="A3" s="8" t="s">
        <v>13</v>
      </c>
      <c r="B3" s="8" t="s">
        <v>14</v>
      </c>
      <c r="C3" s="8" t="s">
        <v>11</v>
      </c>
      <c r="D3" s="8" t="s">
        <v>15</v>
      </c>
      <c r="E3" s="16">
        <v>1101.28</v>
      </c>
      <c r="F3" s="8">
        <v>3</v>
      </c>
      <c r="G3" s="9">
        <v>0.2</v>
      </c>
      <c r="H3" s="8">
        <v>440.51</v>
      </c>
      <c r="I3" s="10">
        <v>45393</v>
      </c>
      <c r="J3" s="8">
        <v>440.51</v>
      </c>
      <c r="L3" s="36">
        <f t="shared" ref="L3:L66" ca="1" si="0">NOW()</f>
        <v>46310.478143171298</v>
      </c>
    </row>
    <row r="4" spans="1:12" ht="15" thickBot="1" x14ac:dyDescent="0.35">
      <c r="A4" s="8" t="s">
        <v>16</v>
      </c>
      <c r="B4" s="8" t="s">
        <v>17</v>
      </c>
      <c r="C4" s="8" t="s">
        <v>18</v>
      </c>
      <c r="D4" s="8" t="s">
        <v>12</v>
      </c>
      <c r="E4" s="16">
        <v>713.34</v>
      </c>
      <c r="F4" s="8">
        <v>17</v>
      </c>
      <c r="G4" s="9">
        <v>0</v>
      </c>
      <c r="H4" s="8">
        <v>285.33999999999997</v>
      </c>
      <c r="I4" s="10">
        <v>45396</v>
      </c>
      <c r="J4" s="8">
        <v>285.33999999999997</v>
      </c>
      <c r="L4" s="36">
        <f t="shared" ca="1" si="0"/>
        <v>46310.478143171298</v>
      </c>
    </row>
    <row r="5" spans="1:12" ht="15" thickBot="1" x14ac:dyDescent="0.35">
      <c r="A5" s="8" t="s">
        <v>19</v>
      </c>
      <c r="B5" s="8" t="s">
        <v>14</v>
      </c>
      <c r="C5" s="8" t="s">
        <v>20</v>
      </c>
      <c r="D5" s="8" t="s">
        <v>21</v>
      </c>
      <c r="E5" s="16">
        <v>760.93</v>
      </c>
      <c r="F5" s="8">
        <v>4</v>
      </c>
      <c r="G5" s="9">
        <v>0.15</v>
      </c>
      <c r="H5" s="8">
        <v>161.69999999999999</v>
      </c>
      <c r="I5" s="10">
        <v>45396</v>
      </c>
      <c r="J5" s="8">
        <v>161.69999999999999</v>
      </c>
      <c r="L5" s="36">
        <f t="shared" ca="1" si="0"/>
        <v>46310.478143171298</v>
      </c>
    </row>
    <row r="6" spans="1:12" ht="15" thickBot="1" x14ac:dyDescent="0.35">
      <c r="A6" s="8" t="s">
        <v>22</v>
      </c>
      <c r="B6" s="8" t="s">
        <v>23</v>
      </c>
      <c r="C6" s="8" t="s">
        <v>24</v>
      </c>
      <c r="D6" s="8" t="s">
        <v>12</v>
      </c>
      <c r="E6" s="16">
        <v>847</v>
      </c>
      <c r="F6" s="8">
        <v>12</v>
      </c>
      <c r="G6" s="9">
        <v>0.2</v>
      </c>
      <c r="H6" s="8">
        <v>271.04000000000002</v>
      </c>
      <c r="I6" s="10">
        <v>45397</v>
      </c>
      <c r="J6" s="8">
        <v>271.04000000000002</v>
      </c>
      <c r="L6" s="36">
        <f t="shared" ca="1" si="0"/>
        <v>46310.478143171298</v>
      </c>
    </row>
    <row r="7" spans="1:12" ht="15" thickBot="1" x14ac:dyDescent="0.35">
      <c r="A7" s="8" t="s">
        <v>25</v>
      </c>
      <c r="B7" s="8" t="s">
        <v>26</v>
      </c>
      <c r="C7" s="8" t="s">
        <v>24</v>
      </c>
      <c r="D7" s="8" t="s">
        <v>27</v>
      </c>
      <c r="E7" s="16">
        <v>965.64</v>
      </c>
      <c r="F7" s="8">
        <v>8</v>
      </c>
      <c r="G7" s="9">
        <v>0.1</v>
      </c>
      <c r="H7" s="8">
        <v>304.18</v>
      </c>
      <c r="I7" s="10">
        <v>45398</v>
      </c>
      <c r="J7" s="8">
        <v>304.18</v>
      </c>
      <c r="L7" s="36">
        <f t="shared" ca="1" si="0"/>
        <v>46310.478143171298</v>
      </c>
    </row>
    <row r="8" spans="1:12" ht="15" thickBot="1" x14ac:dyDescent="0.35">
      <c r="A8" s="8" t="s">
        <v>28</v>
      </c>
      <c r="B8" s="8" t="s">
        <v>29</v>
      </c>
      <c r="C8" s="8" t="s">
        <v>11</v>
      </c>
      <c r="D8" s="8" t="s">
        <v>21</v>
      </c>
      <c r="E8" s="16">
        <v>1317.53</v>
      </c>
      <c r="F8" s="8">
        <v>12</v>
      </c>
      <c r="G8" s="9">
        <v>0.05</v>
      </c>
      <c r="H8" s="8">
        <v>312.91000000000003</v>
      </c>
      <c r="I8" s="10">
        <v>45398</v>
      </c>
      <c r="J8" s="8">
        <v>312.91000000000003</v>
      </c>
      <c r="L8" s="36">
        <f t="shared" ca="1" si="0"/>
        <v>46310.478143171298</v>
      </c>
    </row>
    <row r="9" spans="1:12" ht="15" thickBot="1" x14ac:dyDescent="0.35">
      <c r="A9" s="8" t="s">
        <v>30</v>
      </c>
      <c r="B9" s="8" t="s">
        <v>31</v>
      </c>
      <c r="C9" s="8" t="s">
        <v>18</v>
      </c>
      <c r="D9" s="8" t="s">
        <v>27</v>
      </c>
      <c r="E9" s="16">
        <v>1074.47</v>
      </c>
      <c r="F9" s="8">
        <v>6</v>
      </c>
      <c r="G9" s="9">
        <v>0.2</v>
      </c>
      <c r="H9" s="8">
        <v>300.85000000000002</v>
      </c>
      <c r="I9" s="10">
        <v>45401</v>
      </c>
      <c r="J9" s="8">
        <v>300.85000000000002</v>
      </c>
      <c r="L9" s="36">
        <f t="shared" ca="1" si="0"/>
        <v>46310.478143171298</v>
      </c>
    </row>
    <row r="10" spans="1:12" ht="15" thickBot="1" x14ac:dyDescent="0.35">
      <c r="A10" s="8" t="s">
        <v>32</v>
      </c>
      <c r="B10" s="8" t="s">
        <v>33</v>
      </c>
      <c r="C10" s="8" t="s">
        <v>34</v>
      </c>
      <c r="D10" s="8" t="s">
        <v>12</v>
      </c>
      <c r="E10" s="16">
        <v>501.54</v>
      </c>
      <c r="F10" s="8">
        <v>11</v>
      </c>
      <c r="G10" s="9">
        <v>0.05</v>
      </c>
      <c r="H10" s="8">
        <v>190.59</v>
      </c>
      <c r="I10" s="10">
        <v>45401</v>
      </c>
      <c r="J10" s="8">
        <v>190.59</v>
      </c>
      <c r="L10" s="36">
        <f t="shared" ca="1" si="0"/>
        <v>46310.478143171298</v>
      </c>
    </row>
    <row r="11" spans="1:12" ht="15" thickBot="1" x14ac:dyDescent="0.35">
      <c r="A11" s="8" t="s">
        <v>35</v>
      </c>
      <c r="B11" s="8" t="s">
        <v>36</v>
      </c>
      <c r="C11" s="8" t="s">
        <v>34</v>
      </c>
      <c r="D11" s="8" t="s">
        <v>15</v>
      </c>
      <c r="E11" s="16">
        <v>737.31</v>
      </c>
      <c r="F11" s="8">
        <v>2</v>
      </c>
      <c r="G11" s="9">
        <v>0.05</v>
      </c>
      <c r="H11" s="8">
        <v>350.22</v>
      </c>
      <c r="I11" s="10">
        <v>45401</v>
      </c>
      <c r="J11" s="8">
        <v>350.22</v>
      </c>
      <c r="L11" s="36">
        <f t="shared" ca="1" si="0"/>
        <v>46310.478143171298</v>
      </c>
    </row>
    <row r="12" spans="1:12" ht="15" thickBot="1" x14ac:dyDescent="0.35">
      <c r="A12" s="8" t="s">
        <v>37</v>
      </c>
      <c r="B12" s="8" t="s">
        <v>38</v>
      </c>
      <c r="C12" s="8" t="s">
        <v>11</v>
      </c>
      <c r="D12" s="8" t="s">
        <v>39</v>
      </c>
      <c r="E12" s="16">
        <v>1572.82</v>
      </c>
      <c r="F12" s="8">
        <v>6</v>
      </c>
      <c r="G12" s="9">
        <v>0.05</v>
      </c>
      <c r="H12" s="8">
        <v>672.38</v>
      </c>
      <c r="I12" s="10">
        <v>45402</v>
      </c>
      <c r="J12" s="8">
        <v>672.38</v>
      </c>
      <c r="L12" s="36">
        <f t="shared" ca="1" si="0"/>
        <v>46310.478143171298</v>
      </c>
    </row>
    <row r="13" spans="1:12" ht="15" thickBot="1" x14ac:dyDescent="0.35">
      <c r="A13" s="8" t="s">
        <v>37</v>
      </c>
      <c r="B13" s="8" t="s">
        <v>36</v>
      </c>
      <c r="C13" s="8" t="s">
        <v>34</v>
      </c>
      <c r="D13" s="8" t="s">
        <v>12</v>
      </c>
      <c r="E13" s="16">
        <v>1343.13</v>
      </c>
      <c r="F13" s="8">
        <v>14</v>
      </c>
      <c r="G13" s="9">
        <v>0.15</v>
      </c>
      <c r="H13" s="8">
        <v>456.66</v>
      </c>
      <c r="I13" s="10">
        <v>45404</v>
      </c>
      <c r="J13" s="8">
        <v>456.66</v>
      </c>
      <c r="L13" s="36">
        <f t="shared" ca="1" si="0"/>
        <v>46310.478143171298</v>
      </c>
    </row>
    <row r="14" spans="1:12" ht="15" thickBot="1" x14ac:dyDescent="0.35">
      <c r="A14" s="8" t="s">
        <v>25</v>
      </c>
      <c r="B14" s="8" t="s">
        <v>26</v>
      </c>
      <c r="C14" s="8" t="s">
        <v>34</v>
      </c>
      <c r="D14" s="8" t="s">
        <v>12</v>
      </c>
      <c r="E14" s="16">
        <v>1191.58</v>
      </c>
      <c r="F14" s="8">
        <v>14</v>
      </c>
      <c r="G14" s="9">
        <v>0.05</v>
      </c>
      <c r="H14" s="8">
        <v>452.8</v>
      </c>
      <c r="I14" s="10">
        <v>45406</v>
      </c>
      <c r="J14" s="8">
        <v>452.8</v>
      </c>
      <c r="L14" s="36">
        <f t="shared" ca="1" si="0"/>
        <v>46310.478143171298</v>
      </c>
    </row>
    <row r="15" spans="1:12" ht="15" thickBot="1" x14ac:dyDescent="0.35">
      <c r="A15" s="8" t="s">
        <v>40</v>
      </c>
      <c r="B15" s="8" t="s">
        <v>14</v>
      </c>
      <c r="C15" s="8" t="s">
        <v>11</v>
      </c>
      <c r="D15" s="8" t="s">
        <v>27</v>
      </c>
      <c r="E15" s="16">
        <v>822.28</v>
      </c>
      <c r="F15" s="8">
        <v>7</v>
      </c>
      <c r="G15" s="9">
        <v>0.05</v>
      </c>
      <c r="H15" s="8">
        <v>273.41000000000003</v>
      </c>
      <c r="I15" s="10">
        <v>45406</v>
      </c>
      <c r="J15" s="8">
        <v>273.41000000000003</v>
      </c>
      <c r="L15" s="36">
        <f t="shared" ca="1" si="0"/>
        <v>46310.478143171298</v>
      </c>
    </row>
    <row r="16" spans="1:12" ht="15" thickBot="1" x14ac:dyDescent="0.35">
      <c r="A16" s="8" t="s">
        <v>41</v>
      </c>
      <c r="B16" s="8" t="s">
        <v>42</v>
      </c>
      <c r="C16" s="8" t="s">
        <v>24</v>
      </c>
      <c r="D16" s="8" t="s">
        <v>27</v>
      </c>
      <c r="E16" s="16">
        <v>521.66999999999996</v>
      </c>
      <c r="F16" s="8">
        <v>15</v>
      </c>
      <c r="G16" s="9">
        <v>0.15</v>
      </c>
      <c r="H16" s="8">
        <v>155.19999999999999</v>
      </c>
      <c r="I16" s="10">
        <v>45409</v>
      </c>
      <c r="J16" s="8">
        <v>155.19999999999999</v>
      </c>
      <c r="L16" s="36">
        <f t="shared" ca="1" si="0"/>
        <v>46310.478143171298</v>
      </c>
    </row>
    <row r="17" spans="1:12" ht="15" thickBot="1" x14ac:dyDescent="0.35">
      <c r="A17" s="8" t="s">
        <v>19</v>
      </c>
      <c r="B17" s="8" t="s">
        <v>43</v>
      </c>
      <c r="C17" s="8" t="s">
        <v>20</v>
      </c>
      <c r="D17" s="8" t="s">
        <v>21</v>
      </c>
      <c r="E17" s="16">
        <v>1502.93</v>
      </c>
      <c r="F17" s="8">
        <v>14</v>
      </c>
      <c r="G17" s="9">
        <v>0.2</v>
      </c>
      <c r="H17" s="8">
        <v>300.58999999999997</v>
      </c>
      <c r="I17" s="10">
        <v>45410</v>
      </c>
      <c r="J17" s="8">
        <v>300.58999999999997</v>
      </c>
      <c r="L17" s="36">
        <f t="shared" ca="1" si="0"/>
        <v>46310.478143171298</v>
      </c>
    </row>
    <row r="18" spans="1:12" ht="15" thickBot="1" x14ac:dyDescent="0.35">
      <c r="A18" s="8" t="s">
        <v>44</v>
      </c>
      <c r="B18" s="8" t="s">
        <v>14</v>
      </c>
      <c r="C18" s="8" t="s">
        <v>20</v>
      </c>
      <c r="D18" s="8" t="s">
        <v>12</v>
      </c>
      <c r="E18" s="16">
        <v>877.58</v>
      </c>
      <c r="F18" s="8">
        <v>10</v>
      </c>
      <c r="G18" s="9">
        <v>0.15</v>
      </c>
      <c r="H18" s="8">
        <v>298.38</v>
      </c>
      <c r="I18" s="10">
        <v>45411</v>
      </c>
      <c r="J18" s="8">
        <v>298.38</v>
      </c>
      <c r="L18" s="36">
        <f t="shared" ca="1" si="0"/>
        <v>46310.478143171298</v>
      </c>
    </row>
    <row r="19" spans="1:12" ht="15" thickBot="1" x14ac:dyDescent="0.35">
      <c r="A19" s="8" t="s">
        <v>28</v>
      </c>
      <c r="B19" s="8" t="s">
        <v>45</v>
      </c>
      <c r="C19" s="8" t="s">
        <v>11</v>
      </c>
      <c r="D19" s="8" t="s">
        <v>12</v>
      </c>
      <c r="E19" s="16">
        <v>636.70000000000005</v>
      </c>
      <c r="F19" s="8">
        <v>4</v>
      </c>
      <c r="G19" s="9">
        <v>0.2</v>
      </c>
      <c r="H19" s="8">
        <v>203.74</v>
      </c>
      <c r="I19" s="10">
        <v>45411</v>
      </c>
      <c r="J19" s="8">
        <v>203.74</v>
      </c>
      <c r="L19" s="36">
        <f t="shared" ca="1" si="0"/>
        <v>46310.478143171298</v>
      </c>
    </row>
    <row r="20" spans="1:12" ht="15" thickBot="1" x14ac:dyDescent="0.35">
      <c r="A20" s="8" t="s">
        <v>46</v>
      </c>
      <c r="B20" s="8" t="s">
        <v>47</v>
      </c>
      <c r="C20" s="8" t="s">
        <v>11</v>
      </c>
      <c r="D20" s="8" t="s">
        <v>12</v>
      </c>
      <c r="E20" s="16">
        <v>1506.14</v>
      </c>
      <c r="F20" s="8">
        <v>13</v>
      </c>
      <c r="G20" s="9">
        <v>0.2</v>
      </c>
      <c r="H20" s="8">
        <v>481.96</v>
      </c>
      <c r="I20" s="10">
        <v>45412</v>
      </c>
      <c r="J20" s="8">
        <v>481.96</v>
      </c>
      <c r="L20" s="36">
        <f t="shared" ca="1" si="0"/>
        <v>46310.478143171298</v>
      </c>
    </row>
    <row r="21" spans="1:12" ht="15" thickBot="1" x14ac:dyDescent="0.35">
      <c r="A21" s="8" t="s">
        <v>30</v>
      </c>
      <c r="B21" s="8" t="s">
        <v>31</v>
      </c>
      <c r="C21" s="8" t="s">
        <v>34</v>
      </c>
      <c r="D21" s="8" t="s">
        <v>21</v>
      </c>
      <c r="E21" s="16">
        <v>645.02</v>
      </c>
      <c r="F21" s="8">
        <v>4</v>
      </c>
      <c r="G21" s="9">
        <v>0</v>
      </c>
      <c r="H21" s="8">
        <v>161.26</v>
      </c>
      <c r="I21" s="10">
        <v>45414</v>
      </c>
      <c r="J21" s="8">
        <v>161.26</v>
      </c>
      <c r="L21" s="36">
        <f t="shared" ca="1" si="0"/>
        <v>46310.478143171298</v>
      </c>
    </row>
    <row r="22" spans="1:12" ht="15" thickBot="1" x14ac:dyDescent="0.35">
      <c r="A22" s="8" t="s">
        <v>25</v>
      </c>
      <c r="B22" s="8" t="s">
        <v>48</v>
      </c>
      <c r="C22" s="8" t="s">
        <v>20</v>
      </c>
      <c r="D22" s="8" t="s">
        <v>15</v>
      </c>
      <c r="E22" s="16">
        <v>953.3</v>
      </c>
      <c r="F22" s="8">
        <v>11</v>
      </c>
      <c r="G22" s="9">
        <v>0</v>
      </c>
      <c r="H22" s="8">
        <v>476.65</v>
      </c>
      <c r="I22" s="10">
        <v>45415</v>
      </c>
      <c r="J22" s="8">
        <v>476.65</v>
      </c>
      <c r="L22" s="36">
        <f t="shared" ca="1" si="0"/>
        <v>46310.478143171298</v>
      </c>
    </row>
    <row r="23" spans="1:12" ht="15" thickBot="1" x14ac:dyDescent="0.35">
      <c r="A23" s="8" t="s">
        <v>49</v>
      </c>
      <c r="B23" s="8" t="s">
        <v>14</v>
      </c>
      <c r="C23" s="8" t="s">
        <v>24</v>
      </c>
      <c r="D23" s="8" t="s">
        <v>21</v>
      </c>
      <c r="E23" s="16">
        <v>388.56</v>
      </c>
      <c r="F23" s="8">
        <v>14</v>
      </c>
      <c r="G23" s="9">
        <v>0.15</v>
      </c>
      <c r="H23" s="8">
        <v>82.57</v>
      </c>
      <c r="I23" s="10">
        <v>45416</v>
      </c>
      <c r="J23" s="8">
        <v>82.57</v>
      </c>
      <c r="L23" s="36">
        <f t="shared" ca="1" si="0"/>
        <v>46310.478143171298</v>
      </c>
    </row>
    <row r="24" spans="1:12" ht="15" thickBot="1" x14ac:dyDescent="0.35">
      <c r="A24" s="8" t="s">
        <v>9</v>
      </c>
      <c r="B24" s="8" t="s">
        <v>31</v>
      </c>
      <c r="C24" s="8" t="s">
        <v>11</v>
      </c>
      <c r="D24" s="8" t="s">
        <v>12</v>
      </c>
      <c r="E24" s="16">
        <v>743.17</v>
      </c>
      <c r="F24" s="8">
        <v>9</v>
      </c>
      <c r="G24" s="9">
        <v>0</v>
      </c>
      <c r="H24" s="8">
        <v>297.27</v>
      </c>
      <c r="I24" s="10">
        <v>45416</v>
      </c>
      <c r="J24" s="8">
        <v>297.27</v>
      </c>
      <c r="L24" s="36">
        <f t="shared" ca="1" si="0"/>
        <v>46310.478143171298</v>
      </c>
    </row>
    <row r="25" spans="1:12" ht="15" thickBot="1" x14ac:dyDescent="0.35">
      <c r="A25" s="8" t="s">
        <v>40</v>
      </c>
      <c r="B25" s="8" t="s">
        <v>31</v>
      </c>
      <c r="C25" s="8" t="s">
        <v>34</v>
      </c>
      <c r="D25" s="8" t="s">
        <v>21</v>
      </c>
      <c r="E25" s="16">
        <v>706.37</v>
      </c>
      <c r="F25" s="8">
        <v>6</v>
      </c>
      <c r="G25" s="9">
        <v>0</v>
      </c>
      <c r="H25" s="8">
        <v>176.59</v>
      </c>
      <c r="I25" s="10">
        <v>45416</v>
      </c>
      <c r="J25" s="8">
        <v>176.59</v>
      </c>
      <c r="L25" s="36">
        <f t="shared" ca="1" si="0"/>
        <v>46310.478143171298</v>
      </c>
    </row>
    <row r="26" spans="1:12" ht="15" thickBot="1" x14ac:dyDescent="0.35">
      <c r="A26" s="8" t="s">
        <v>13</v>
      </c>
      <c r="B26" s="8" t="s">
        <v>31</v>
      </c>
      <c r="C26" s="8" t="s">
        <v>34</v>
      </c>
      <c r="D26" s="8" t="s">
        <v>39</v>
      </c>
      <c r="E26" s="16">
        <v>925.31</v>
      </c>
      <c r="F26" s="8">
        <v>8</v>
      </c>
      <c r="G26" s="9">
        <v>0.1</v>
      </c>
      <c r="H26" s="8">
        <v>374.75</v>
      </c>
      <c r="I26" s="10">
        <v>45418</v>
      </c>
      <c r="J26" s="8">
        <v>374.75</v>
      </c>
      <c r="L26" s="36">
        <f t="shared" ca="1" si="0"/>
        <v>46310.478143171298</v>
      </c>
    </row>
    <row r="27" spans="1:12" ht="15" thickBot="1" x14ac:dyDescent="0.35">
      <c r="A27" s="8" t="s">
        <v>35</v>
      </c>
      <c r="B27" s="8" t="s">
        <v>50</v>
      </c>
      <c r="C27" s="8" t="s">
        <v>20</v>
      </c>
      <c r="D27" s="8" t="s">
        <v>21</v>
      </c>
      <c r="E27" s="16">
        <v>1173.1199999999999</v>
      </c>
      <c r="F27" s="8">
        <v>18</v>
      </c>
      <c r="G27" s="9">
        <v>0</v>
      </c>
      <c r="H27" s="8">
        <v>293.27999999999997</v>
      </c>
      <c r="I27" s="10">
        <v>45418</v>
      </c>
      <c r="J27" s="8">
        <v>293.27999999999997</v>
      </c>
      <c r="L27" s="36">
        <f t="shared" ca="1" si="0"/>
        <v>46310.478143171298</v>
      </c>
    </row>
    <row r="28" spans="1:12" ht="15" thickBot="1" x14ac:dyDescent="0.35">
      <c r="A28" s="8" t="s">
        <v>22</v>
      </c>
      <c r="B28" s="8" t="s">
        <v>51</v>
      </c>
      <c r="C28" s="8" t="s">
        <v>24</v>
      </c>
      <c r="D28" s="8" t="s">
        <v>27</v>
      </c>
      <c r="E28" s="16">
        <v>675.54</v>
      </c>
      <c r="F28" s="8">
        <v>17</v>
      </c>
      <c r="G28" s="9">
        <v>0</v>
      </c>
      <c r="H28" s="8">
        <v>236.44</v>
      </c>
      <c r="I28" s="10">
        <v>45420</v>
      </c>
      <c r="J28" s="8">
        <v>236.44</v>
      </c>
      <c r="L28" s="36">
        <f t="shared" ca="1" si="0"/>
        <v>46310.478143171298</v>
      </c>
    </row>
    <row r="29" spans="1:12" ht="15" thickBot="1" x14ac:dyDescent="0.35">
      <c r="A29" s="8" t="s">
        <v>25</v>
      </c>
      <c r="B29" s="8" t="s">
        <v>14</v>
      </c>
      <c r="C29" s="8" t="s">
        <v>34</v>
      </c>
      <c r="D29" s="8" t="s">
        <v>12</v>
      </c>
      <c r="E29" s="16">
        <v>939.09</v>
      </c>
      <c r="F29" s="8">
        <v>2</v>
      </c>
      <c r="G29" s="9">
        <v>0.05</v>
      </c>
      <c r="H29" s="8">
        <v>356.85</v>
      </c>
      <c r="I29" s="10">
        <v>45422</v>
      </c>
      <c r="J29" s="8">
        <v>356.85</v>
      </c>
      <c r="L29" s="36">
        <f t="shared" ca="1" si="0"/>
        <v>46310.478143171298</v>
      </c>
    </row>
    <row r="30" spans="1:12" ht="15" thickBot="1" x14ac:dyDescent="0.35">
      <c r="A30" s="8" t="s">
        <v>52</v>
      </c>
      <c r="B30" s="8" t="s">
        <v>53</v>
      </c>
      <c r="C30" s="8" t="s">
        <v>18</v>
      </c>
      <c r="D30" s="8" t="s">
        <v>39</v>
      </c>
      <c r="E30" s="16">
        <v>983.34</v>
      </c>
      <c r="F30" s="8">
        <v>19</v>
      </c>
      <c r="G30" s="9">
        <v>0.1</v>
      </c>
      <c r="H30" s="8">
        <v>398.25</v>
      </c>
      <c r="I30" s="10">
        <v>45426</v>
      </c>
      <c r="J30" s="8">
        <v>398.25</v>
      </c>
      <c r="L30" s="36">
        <f t="shared" ca="1" si="0"/>
        <v>46310.478143171298</v>
      </c>
    </row>
    <row r="31" spans="1:12" ht="15" thickBot="1" x14ac:dyDescent="0.35">
      <c r="A31" s="8" t="s">
        <v>52</v>
      </c>
      <c r="B31" s="8" t="s">
        <v>23</v>
      </c>
      <c r="C31" s="8" t="s">
        <v>20</v>
      </c>
      <c r="D31" s="8" t="s">
        <v>21</v>
      </c>
      <c r="E31" s="16">
        <v>801.21</v>
      </c>
      <c r="F31" s="8">
        <v>3</v>
      </c>
      <c r="G31" s="9">
        <v>0.2</v>
      </c>
      <c r="H31" s="8">
        <v>160.24</v>
      </c>
      <c r="I31" s="10">
        <v>45426</v>
      </c>
      <c r="J31" s="8">
        <v>160.24</v>
      </c>
      <c r="L31" s="36">
        <f t="shared" ca="1" si="0"/>
        <v>46310.478143171298</v>
      </c>
    </row>
    <row r="32" spans="1:12" ht="15" thickBot="1" x14ac:dyDescent="0.35">
      <c r="A32" s="8" t="s">
        <v>54</v>
      </c>
      <c r="B32" s="8" t="s">
        <v>55</v>
      </c>
      <c r="C32" s="8" t="s">
        <v>24</v>
      </c>
      <c r="D32" s="8" t="s">
        <v>21</v>
      </c>
      <c r="E32" s="16">
        <v>1450.71</v>
      </c>
      <c r="F32" s="8">
        <v>5</v>
      </c>
      <c r="G32" s="9">
        <v>0.1</v>
      </c>
      <c r="H32" s="8">
        <v>326.41000000000003</v>
      </c>
      <c r="I32" s="10">
        <v>45427</v>
      </c>
      <c r="J32" s="8">
        <v>326.41000000000003</v>
      </c>
      <c r="L32" s="36">
        <f t="shared" ca="1" si="0"/>
        <v>46310.478143171298</v>
      </c>
    </row>
    <row r="33" spans="1:12" ht="15" thickBot="1" x14ac:dyDescent="0.35">
      <c r="A33" s="8" t="s">
        <v>49</v>
      </c>
      <c r="B33" s="8" t="s">
        <v>56</v>
      </c>
      <c r="C33" s="8" t="s">
        <v>34</v>
      </c>
      <c r="D33" s="8" t="s">
        <v>12</v>
      </c>
      <c r="E33" s="16">
        <v>1023.21</v>
      </c>
      <c r="F33" s="8">
        <v>18</v>
      </c>
      <c r="G33" s="9">
        <v>0.05</v>
      </c>
      <c r="H33" s="8">
        <v>388.82</v>
      </c>
      <c r="I33" s="10">
        <v>45428</v>
      </c>
      <c r="J33" s="8">
        <v>388.82</v>
      </c>
      <c r="L33" s="36">
        <f t="shared" ca="1" si="0"/>
        <v>46310.478143171298</v>
      </c>
    </row>
    <row r="34" spans="1:12" ht="15" thickBot="1" x14ac:dyDescent="0.35">
      <c r="A34" s="8" t="s">
        <v>28</v>
      </c>
      <c r="B34" s="8" t="s">
        <v>47</v>
      </c>
      <c r="C34" s="8" t="s">
        <v>11</v>
      </c>
      <c r="D34" s="8" t="s">
        <v>27</v>
      </c>
      <c r="E34" s="16">
        <v>853.72</v>
      </c>
      <c r="F34" s="8">
        <v>5</v>
      </c>
      <c r="G34" s="9">
        <v>0.15</v>
      </c>
      <c r="H34" s="8">
        <v>253.98</v>
      </c>
      <c r="I34" s="10">
        <v>45428</v>
      </c>
      <c r="J34" s="8">
        <v>253.98</v>
      </c>
      <c r="L34" s="36">
        <f t="shared" ca="1" si="0"/>
        <v>46310.478143171298</v>
      </c>
    </row>
    <row r="35" spans="1:12" ht="15" thickBot="1" x14ac:dyDescent="0.35">
      <c r="A35" s="8" t="s">
        <v>57</v>
      </c>
      <c r="B35" s="8" t="s">
        <v>43</v>
      </c>
      <c r="C35" s="8" t="s">
        <v>20</v>
      </c>
      <c r="D35" s="8" t="s">
        <v>21</v>
      </c>
      <c r="E35" s="16">
        <v>967.89</v>
      </c>
      <c r="F35" s="8">
        <v>10</v>
      </c>
      <c r="G35" s="9">
        <v>0.1</v>
      </c>
      <c r="H35" s="8">
        <v>217.78</v>
      </c>
      <c r="I35" s="10">
        <v>45429</v>
      </c>
      <c r="J35" s="8">
        <v>217.78</v>
      </c>
      <c r="L35" s="36">
        <f t="shared" ca="1" si="0"/>
        <v>46310.478143171298</v>
      </c>
    </row>
    <row r="36" spans="1:12" ht="15" thickBot="1" x14ac:dyDescent="0.35">
      <c r="A36" s="8" t="s">
        <v>58</v>
      </c>
      <c r="B36" s="8" t="s">
        <v>53</v>
      </c>
      <c r="C36" s="8" t="s">
        <v>24</v>
      </c>
      <c r="D36" s="8" t="s">
        <v>39</v>
      </c>
      <c r="E36" s="16">
        <v>1200.9000000000001</v>
      </c>
      <c r="F36" s="8">
        <v>14</v>
      </c>
      <c r="G36" s="9">
        <v>0.05</v>
      </c>
      <c r="H36" s="8">
        <v>513.38</v>
      </c>
      <c r="I36" s="10">
        <v>45429</v>
      </c>
      <c r="J36" s="8">
        <v>513.38</v>
      </c>
      <c r="L36" s="36">
        <f t="shared" ca="1" si="0"/>
        <v>46310.478143171298</v>
      </c>
    </row>
    <row r="37" spans="1:12" ht="15" thickBot="1" x14ac:dyDescent="0.35">
      <c r="A37" s="8" t="s">
        <v>13</v>
      </c>
      <c r="B37" s="8" t="s">
        <v>26</v>
      </c>
      <c r="C37" s="8" t="s">
        <v>11</v>
      </c>
      <c r="D37" s="8" t="s">
        <v>12</v>
      </c>
      <c r="E37" s="16">
        <v>472.38</v>
      </c>
      <c r="F37" s="8">
        <v>12</v>
      </c>
      <c r="G37" s="9">
        <v>0.2</v>
      </c>
      <c r="H37" s="8">
        <v>151.16</v>
      </c>
      <c r="I37" s="10">
        <v>45429</v>
      </c>
      <c r="J37" s="8">
        <v>151.16</v>
      </c>
      <c r="L37" s="36">
        <f t="shared" ca="1" si="0"/>
        <v>46310.478143171298</v>
      </c>
    </row>
    <row r="38" spans="1:12" ht="15" thickBot="1" x14ac:dyDescent="0.35">
      <c r="A38" s="8" t="s">
        <v>9</v>
      </c>
      <c r="B38" s="8" t="s">
        <v>55</v>
      </c>
      <c r="C38" s="8" t="s">
        <v>18</v>
      </c>
      <c r="D38" s="8" t="s">
        <v>39</v>
      </c>
      <c r="E38" s="16">
        <v>840.92</v>
      </c>
      <c r="F38" s="8">
        <v>9</v>
      </c>
      <c r="G38" s="9">
        <v>0.05</v>
      </c>
      <c r="H38" s="8">
        <v>359.49</v>
      </c>
      <c r="I38" s="10">
        <v>45429</v>
      </c>
      <c r="J38" s="8">
        <v>359.49</v>
      </c>
      <c r="L38" s="36">
        <f t="shared" ca="1" si="0"/>
        <v>46310.478143171298</v>
      </c>
    </row>
    <row r="39" spans="1:12" ht="15" thickBot="1" x14ac:dyDescent="0.35">
      <c r="A39" s="8" t="s">
        <v>52</v>
      </c>
      <c r="B39" s="8" t="s">
        <v>48</v>
      </c>
      <c r="C39" s="8" t="s">
        <v>34</v>
      </c>
      <c r="D39" s="8" t="s">
        <v>27</v>
      </c>
      <c r="E39" s="16">
        <v>1410.06</v>
      </c>
      <c r="F39" s="8">
        <v>11</v>
      </c>
      <c r="G39" s="9">
        <v>0.05</v>
      </c>
      <c r="H39" s="8">
        <v>468.84</v>
      </c>
      <c r="I39" s="10">
        <v>45434</v>
      </c>
      <c r="J39" s="8">
        <v>468.84</v>
      </c>
      <c r="L39" s="36">
        <f t="shared" ca="1" si="0"/>
        <v>46310.478143171298</v>
      </c>
    </row>
    <row r="40" spans="1:12" ht="15" thickBot="1" x14ac:dyDescent="0.35">
      <c r="A40" s="8" t="s">
        <v>44</v>
      </c>
      <c r="B40" s="8" t="s">
        <v>59</v>
      </c>
      <c r="C40" s="8" t="s">
        <v>34</v>
      </c>
      <c r="D40" s="8" t="s">
        <v>27</v>
      </c>
      <c r="E40" s="16">
        <v>773.09</v>
      </c>
      <c r="F40" s="8">
        <v>13</v>
      </c>
      <c r="G40" s="9">
        <v>0.15</v>
      </c>
      <c r="H40" s="8">
        <v>229.99</v>
      </c>
      <c r="I40" s="10">
        <v>45434</v>
      </c>
      <c r="J40" s="8">
        <v>229.99</v>
      </c>
      <c r="L40" s="36">
        <f t="shared" ca="1" si="0"/>
        <v>46310.478143171298</v>
      </c>
    </row>
    <row r="41" spans="1:12" ht="15" thickBot="1" x14ac:dyDescent="0.35">
      <c r="A41" s="8" t="s">
        <v>60</v>
      </c>
      <c r="B41" s="8" t="s">
        <v>61</v>
      </c>
      <c r="C41" s="8" t="s">
        <v>18</v>
      </c>
      <c r="D41" s="8" t="s">
        <v>12</v>
      </c>
      <c r="E41" s="16">
        <v>580.42999999999995</v>
      </c>
      <c r="F41" s="8">
        <v>19</v>
      </c>
      <c r="G41" s="9">
        <v>0.15</v>
      </c>
      <c r="H41" s="8">
        <v>197.35</v>
      </c>
      <c r="I41" s="10">
        <v>45435</v>
      </c>
      <c r="J41" s="8">
        <v>197.35</v>
      </c>
      <c r="L41" s="36">
        <f t="shared" ca="1" si="0"/>
        <v>46310.478143171298</v>
      </c>
    </row>
    <row r="42" spans="1:12" ht="15" thickBot="1" x14ac:dyDescent="0.35">
      <c r="A42" s="8" t="s">
        <v>19</v>
      </c>
      <c r="B42" s="8" t="s">
        <v>42</v>
      </c>
      <c r="C42" s="8" t="s">
        <v>20</v>
      </c>
      <c r="D42" s="8" t="s">
        <v>12</v>
      </c>
      <c r="E42" s="16">
        <v>1151.21</v>
      </c>
      <c r="F42" s="8">
        <v>15</v>
      </c>
      <c r="G42" s="9">
        <v>0.1</v>
      </c>
      <c r="H42" s="8">
        <v>414.44</v>
      </c>
      <c r="I42" s="10">
        <v>45445</v>
      </c>
      <c r="J42" s="8">
        <v>414.44</v>
      </c>
      <c r="L42" s="36">
        <f t="shared" ca="1" si="0"/>
        <v>46310.478143171298</v>
      </c>
    </row>
    <row r="43" spans="1:12" ht="15" thickBot="1" x14ac:dyDescent="0.35">
      <c r="A43" s="8" t="s">
        <v>52</v>
      </c>
      <c r="B43" s="8" t="s">
        <v>23</v>
      </c>
      <c r="C43" s="8" t="s">
        <v>34</v>
      </c>
      <c r="D43" s="8" t="s">
        <v>39</v>
      </c>
      <c r="E43" s="16">
        <v>1025.98</v>
      </c>
      <c r="F43" s="8">
        <v>5</v>
      </c>
      <c r="G43" s="9">
        <v>0.2</v>
      </c>
      <c r="H43" s="8">
        <v>369.35</v>
      </c>
      <c r="I43" s="10">
        <v>45447</v>
      </c>
      <c r="J43" s="8">
        <v>369.35</v>
      </c>
      <c r="L43" s="36">
        <f t="shared" ca="1" si="0"/>
        <v>46310.478143171298</v>
      </c>
    </row>
    <row r="44" spans="1:12" ht="15" thickBot="1" x14ac:dyDescent="0.35">
      <c r="A44" s="8" t="s">
        <v>40</v>
      </c>
      <c r="B44" s="8" t="s">
        <v>56</v>
      </c>
      <c r="C44" s="8" t="s">
        <v>18</v>
      </c>
      <c r="D44" s="8" t="s">
        <v>39</v>
      </c>
      <c r="E44" s="16">
        <v>556.41999999999996</v>
      </c>
      <c r="F44" s="8">
        <v>11</v>
      </c>
      <c r="G44" s="9">
        <v>0.15</v>
      </c>
      <c r="H44" s="8">
        <v>212.83</v>
      </c>
      <c r="I44" s="10">
        <v>45447</v>
      </c>
      <c r="J44" s="8">
        <v>212.83</v>
      </c>
      <c r="L44" s="36">
        <f t="shared" ca="1" si="0"/>
        <v>46310.478143171298</v>
      </c>
    </row>
    <row r="45" spans="1:12" ht="15" thickBot="1" x14ac:dyDescent="0.35">
      <c r="A45" s="8" t="s">
        <v>57</v>
      </c>
      <c r="B45" s="8" t="s">
        <v>23</v>
      </c>
      <c r="C45" s="8" t="s">
        <v>34</v>
      </c>
      <c r="D45" s="8" t="s">
        <v>12</v>
      </c>
      <c r="E45" s="16">
        <v>840.85</v>
      </c>
      <c r="F45" s="8">
        <v>19</v>
      </c>
      <c r="G45" s="9">
        <v>0.1</v>
      </c>
      <c r="H45" s="8">
        <v>302.70999999999998</v>
      </c>
      <c r="I45" s="10">
        <v>45448</v>
      </c>
      <c r="J45" s="8">
        <v>302.70999999999998</v>
      </c>
      <c r="L45" s="36">
        <f t="shared" ca="1" si="0"/>
        <v>46310.478143171298</v>
      </c>
    </row>
    <row r="46" spans="1:12" ht="15" thickBot="1" x14ac:dyDescent="0.35">
      <c r="A46" s="8" t="s">
        <v>30</v>
      </c>
      <c r="B46" s="8" t="s">
        <v>61</v>
      </c>
      <c r="C46" s="8" t="s">
        <v>24</v>
      </c>
      <c r="D46" s="8" t="s">
        <v>27</v>
      </c>
      <c r="E46" s="16">
        <v>1227.25</v>
      </c>
      <c r="F46" s="8">
        <v>12</v>
      </c>
      <c r="G46" s="9">
        <v>0.15</v>
      </c>
      <c r="H46" s="8">
        <v>365.11</v>
      </c>
      <c r="I46" s="10">
        <v>45448</v>
      </c>
      <c r="J46" s="8">
        <v>365.11</v>
      </c>
      <c r="L46" s="36">
        <f t="shared" ca="1" si="0"/>
        <v>46310.478143171298</v>
      </c>
    </row>
    <row r="47" spans="1:12" ht="15" thickBot="1" x14ac:dyDescent="0.35">
      <c r="A47" s="8" t="s">
        <v>16</v>
      </c>
      <c r="B47" s="8" t="s">
        <v>62</v>
      </c>
      <c r="C47" s="8" t="s">
        <v>34</v>
      </c>
      <c r="D47" s="8" t="s">
        <v>21</v>
      </c>
      <c r="E47" s="16">
        <v>856.7</v>
      </c>
      <c r="F47" s="8">
        <v>2</v>
      </c>
      <c r="G47" s="9">
        <v>0</v>
      </c>
      <c r="H47" s="8">
        <v>214.18</v>
      </c>
      <c r="I47" s="10">
        <v>45449</v>
      </c>
      <c r="J47" s="8">
        <v>214.18</v>
      </c>
      <c r="L47" s="36">
        <f t="shared" ca="1" si="0"/>
        <v>46310.478143171298</v>
      </c>
    </row>
    <row r="48" spans="1:12" ht="15" thickBot="1" x14ac:dyDescent="0.35">
      <c r="A48" s="8" t="s">
        <v>54</v>
      </c>
      <c r="B48" s="8" t="s">
        <v>56</v>
      </c>
      <c r="C48" s="8" t="s">
        <v>34</v>
      </c>
      <c r="D48" s="8" t="s">
        <v>39</v>
      </c>
      <c r="E48" s="16">
        <v>1225.42</v>
      </c>
      <c r="F48" s="8">
        <v>8</v>
      </c>
      <c r="G48" s="9">
        <v>0.15</v>
      </c>
      <c r="H48" s="8">
        <v>468.72</v>
      </c>
      <c r="I48" s="10">
        <v>45449</v>
      </c>
      <c r="J48" s="8">
        <v>468.72</v>
      </c>
      <c r="L48" s="36">
        <f t="shared" ca="1" si="0"/>
        <v>46310.478143171298</v>
      </c>
    </row>
    <row r="49" spans="1:12" ht="15" thickBot="1" x14ac:dyDescent="0.35">
      <c r="A49" s="8" t="s">
        <v>63</v>
      </c>
      <c r="B49" s="8" t="s">
        <v>31</v>
      </c>
      <c r="C49" s="8" t="s">
        <v>24</v>
      </c>
      <c r="D49" s="8" t="s">
        <v>39</v>
      </c>
      <c r="E49" s="16">
        <v>1001.57</v>
      </c>
      <c r="F49" s="8">
        <v>12</v>
      </c>
      <c r="G49" s="9">
        <v>0</v>
      </c>
      <c r="H49" s="8">
        <v>450.71</v>
      </c>
      <c r="I49" s="10">
        <v>45450</v>
      </c>
      <c r="J49" s="8">
        <v>450.71</v>
      </c>
      <c r="L49" s="36">
        <f t="shared" ca="1" si="0"/>
        <v>46310.478143171298</v>
      </c>
    </row>
    <row r="50" spans="1:12" ht="15" thickBot="1" x14ac:dyDescent="0.35">
      <c r="A50" s="8" t="s">
        <v>57</v>
      </c>
      <c r="B50" s="8" t="s">
        <v>26</v>
      </c>
      <c r="C50" s="8" t="s">
        <v>18</v>
      </c>
      <c r="D50" s="8" t="s">
        <v>27</v>
      </c>
      <c r="E50" s="16">
        <v>1186.8499999999999</v>
      </c>
      <c r="F50" s="8">
        <v>19</v>
      </c>
      <c r="G50" s="9">
        <v>0.2</v>
      </c>
      <c r="H50" s="8">
        <v>332.32</v>
      </c>
      <c r="I50" s="10">
        <v>45451</v>
      </c>
      <c r="J50" s="8">
        <v>332.32</v>
      </c>
      <c r="L50" s="36">
        <f t="shared" ca="1" si="0"/>
        <v>46310.478143171298</v>
      </c>
    </row>
    <row r="51" spans="1:12" ht="15" thickBot="1" x14ac:dyDescent="0.35">
      <c r="A51" s="8" t="s">
        <v>44</v>
      </c>
      <c r="B51" s="8" t="s">
        <v>51</v>
      </c>
      <c r="C51" s="8" t="s">
        <v>20</v>
      </c>
      <c r="D51" s="8" t="s">
        <v>21</v>
      </c>
      <c r="E51" s="16">
        <v>775.45</v>
      </c>
      <c r="F51" s="8">
        <v>6</v>
      </c>
      <c r="G51" s="9">
        <v>0.1</v>
      </c>
      <c r="H51" s="8">
        <v>174.48</v>
      </c>
      <c r="I51" s="10">
        <v>45457</v>
      </c>
      <c r="J51" s="8">
        <v>174.48</v>
      </c>
      <c r="L51" s="36">
        <f t="shared" ca="1" si="0"/>
        <v>46310.478143171298</v>
      </c>
    </row>
    <row r="52" spans="1:12" ht="15" thickBot="1" x14ac:dyDescent="0.35">
      <c r="A52" s="8" t="s">
        <v>25</v>
      </c>
      <c r="B52" s="8" t="s">
        <v>33</v>
      </c>
      <c r="C52" s="8" t="s">
        <v>20</v>
      </c>
      <c r="D52" s="8" t="s">
        <v>21</v>
      </c>
      <c r="E52" s="16">
        <v>1021.47</v>
      </c>
      <c r="F52" s="8">
        <v>6</v>
      </c>
      <c r="G52" s="9">
        <v>0.05</v>
      </c>
      <c r="H52" s="8">
        <v>242.6</v>
      </c>
      <c r="I52" s="10">
        <v>45461</v>
      </c>
      <c r="J52" s="8">
        <v>242.6</v>
      </c>
      <c r="L52" s="36">
        <f t="shared" ca="1" si="0"/>
        <v>46310.478143171298</v>
      </c>
    </row>
    <row r="53" spans="1:12" ht="15" thickBot="1" x14ac:dyDescent="0.35">
      <c r="A53" s="8" t="s">
        <v>58</v>
      </c>
      <c r="B53" s="8" t="s">
        <v>23</v>
      </c>
      <c r="C53" s="8" t="s">
        <v>20</v>
      </c>
      <c r="D53" s="8" t="s">
        <v>15</v>
      </c>
      <c r="E53" s="16">
        <v>1226.6199999999999</v>
      </c>
      <c r="F53" s="8">
        <v>7</v>
      </c>
      <c r="G53" s="9">
        <v>0.1</v>
      </c>
      <c r="H53" s="8">
        <v>551.98</v>
      </c>
      <c r="I53" s="10">
        <v>45463</v>
      </c>
      <c r="J53" s="8">
        <v>551.98</v>
      </c>
      <c r="L53" s="36">
        <f t="shared" ca="1" si="0"/>
        <v>46310.478143171298</v>
      </c>
    </row>
    <row r="54" spans="1:12" ht="15" thickBot="1" x14ac:dyDescent="0.35">
      <c r="A54" s="8" t="s">
        <v>22</v>
      </c>
      <c r="B54" s="8" t="s">
        <v>64</v>
      </c>
      <c r="C54" s="8" t="s">
        <v>20</v>
      </c>
      <c r="D54" s="8" t="s">
        <v>27</v>
      </c>
      <c r="E54" s="16">
        <v>1086.93</v>
      </c>
      <c r="F54" s="8">
        <v>2</v>
      </c>
      <c r="G54" s="9">
        <v>0</v>
      </c>
      <c r="H54" s="8">
        <v>380.43</v>
      </c>
      <c r="I54" s="10">
        <v>45464</v>
      </c>
      <c r="J54" s="8">
        <v>380.43</v>
      </c>
      <c r="L54" s="36">
        <f t="shared" ca="1" si="0"/>
        <v>46310.478143171298</v>
      </c>
    </row>
    <row r="55" spans="1:12" ht="15" thickBot="1" x14ac:dyDescent="0.35">
      <c r="A55" s="8" t="s">
        <v>65</v>
      </c>
      <c r="B55" s="8" t="s">
        <v>48</v>
      </c>
      <c r="C55" s="8" t="s">
        <v>11</v>
      </c>
      <c r="D55" s="8" t="s">
        <v>12</v>
      </c>
      <c r="E55" s="16">
        <v>942.9</v>
      </c>
      <c r="F55" s="8">
        <v>18</v>
      </c>
      <c r="G55" s="9">
        <v>0.1</v>
      </c>
      <c r="H55" s="8">
        <v>339.44</v>
      </c>
      <c r="I55" s="10">
        <v>45466</v>
      </c>
      <c r="J55" s="8">
        <v>339.44</v>
      </c>
      <c r="L55" s="36">
        <f t="shared" ca="1" si="0"/>
        <v>46310.478143171298</v>
      </c>
    </row>
    <row r="56" spans="1:12" ht="15" thickBot="1" x14ac:dyDescent="0.35">
      <c r="A56" s="8" t="s">
        <v>32</v>
      </c>
      <c r="B56" s="8" t="s">
        <v>38</v>
      </c>
      <c r="C56" s="8" t="s">
        <v>24</v>
      </c>
      <c r="D56" s="8" t="s">
        <v>21</v>
      </c>
      <c r="E56" s="16">
        <v>818.8</v>
      </c>
      <c r="F56" s="8">
        <v>15</v>
      </c>
      <c r="G56" s="9">
        <v>0.15</v>
      </c>
      <c r="H56" s="8">
        <v>173.99</v>
      </c>
      <c r="I56" s="10">
        <v>45468</v>
      </c>
      <c r="J56" s="8">
        <v>173.99</v>
      </c>
      <c r="L56" s="36">
        <f t="shared" ca="1" si="0"/>
        <v>46310.478143171298</v>
      </c>
    </row>
    <row r="57" spans="1:12" ht="15" thickBot="1" x14ac:dyDescent="0.35">
      <c r="A57" s="8" t="s">
        <v>19</v>
      </c>
      <c r="B57" s="8" t="s">
        <v>14</v>
      </c>
      <c r="C57" s="8" t="s">
        <v>20</v>
      </c>
      <c r="D57" s="8" t="s">
        <v>27</v>
      </c>
      <c r="E57" s="16">
        <v>919.04</v>
      </c>
      <c r="F57" s="8">
        <v>10</v>
      </c>
      <c r="G57" s="9">
        <v>0.2</v>
      </c>
      <c r="H57" s="8">
        <v>257.33</v>
      </c>
      <c r="I57" s="10">
        <v>45468</v>
      </c>
      <c r="J57" s="8">
        <v>257.33</v>
      </c>
      <c r="L57" s="36">
        <f t="shared" ca="1" si="0"/>
        <v>46310.478143171298</v>
      </c>
    </row>
    <row r="58" spans="1:12" ht="15" thickBot="1" x14ac:dyDescent="0.35">
      <c r="A58" s="8" t="s">
        <v>22</v>
      </c>
      <c r="B58" s="8" t="s">
        <v>66</v>
      </c>
      <c r="C58" s="8" t="s">
        <v>34</v>
      </c>
      <c r="D58" s="8" t="s">
        <v>12</v>
      </c>
      <c r="E58" s="16">
        <v>973.26</v>
      </c>
      <c r="F58" s="8">
        <v>11</v>
      </c>
      <c r="G58" s="9">
        <v>0</v>
      </c>
      <c r="H58" s="8">
        <v>389.3</v>
      </c>
      <c r="I58" s="10">
        <v>45470</v>
      </c>
      <c r="J58" s="8">
        <v>389.3</v>
      </c>
      <c r="L58" s="36">
        <f t="shared" ca="1" si="0"/>
        <v>46310.478143171298</v>
      </c>
    </row>
    <row r="59" spans="1:12" ht="15" thickBot="1" x14ac:dyDescent="0.35">
      <c r="A59" s="8" t="s">
        <v>41</v>
      </c>
      <c r="B59" s="8" t="s">
        <v>64</v>
      </c>
      <c r="C59" s="8" t="s">
        <v>24</v>
      </c>
      <c r="D59" s="8" t="s">
        <v>21</v>
      </c>
      <c r="E59" s="16">
        <v>741.61</v>
      </c>
      <c r="F59" s="8">
        <v>1</v>
      </c>
      <c r="G59" s="9">
        <v>0.2</v>
      </c>
      <c r="H59" s="8">
        <v>148.32</v>
      </c>
      <c r="I59" s="10">
        <v>45471</v>
      </c>
      <c r="J59" s="8">
        <v>148.32</v>
      </c>
      <c r="L59" s="36">
        <f t="shared" ca="1" si="0"/>
        <v>46310.478143171298</v>
      </c>
    </row>
    <row r="60" spans="1:12" ht="15" thickBot="1" x14ac:dyDescent="0.35">
      <c r="A60" s="8" t="s">
        <v>67</v>
      </c>
      <c r="B60" s="8" t="s">
        <v>38</v>
      </c>
      <c r="C60" s="8" t="s">
        <v>24</v>
      </c>
      <c r="D60" s="8" t="s">
        <v>12</v>
      </c>
      <c r="E60" s="16">
        <v>1248.82</v>
      </c>
      <c r="F60" s="8">
        <v>2</v>
      </c>
      <c r="G60" s="9">
        <v>0.1</v>
      </c>
      <c r="H60" s="8">
        <v>449.58</v>
      </c>
      <c r="I60" s="10">
        <v>45473</v>
      </c>
      <c r="J60" s="8">
        <v>449.58</v>
      </c>
      <c r="L60" s="36">
        <f t="shared" ca="1" si="0"/>
        <v>46310.478143171298</v>
      </c>
    </row>
    <row r="61" spans="1:12" ht="15" thickBot="1" x14ac:dyDescent="0.35">
      <c r="A61" s="8" t="s">
        <v>13</v>
      </c>
      <c r="B61" s="8" t="s">
        <v>59</v>
      </c>
      <c r="C61" s="8" t="s">
        <v>11</v>
      </c>
      <c r="D61" s="8" t="s">
        <v>15</v>
      </c>
      <c r="E61" s="16">
        <v>1360.36</v>
      </c>
      <c r="F61" s="8">
        <v>17</v>
      </c>
      <c r="G61" s="9">
        <v>0</v>
      </c>
      <c r="H61" s="8">
        <v>680.18</v>
      </c>
      <c r="I61" s="10">
        <v>45473</v>
      </c>
      <c r="J61" s="8">
        <v>680.18</v>
      </c>
      <c r="L61" s="36">
        <f t="shared" ca="1" si="0"/>
        <v>46310.478143171298</v>
      </c>
    </row>
    <row r="62" spans="1:12" ht="15" thickBot="1" x14ac:dyDescent="0.35">
      <c r="A62" s="8" t="s">
        <v>57</v>
      </c>
      <c r="B62" s="8" t="s">
        <v>31</v>
      </c>
      <c r="C62" s="8" t="s">
        <v>18</v>
      </c>
      <c r="D62" s="8" t="s">
        <v>12</v>
      </c>
      <c r="E62" s="16">
        <v>1383.3</v>
      </c>
      <c r="F62" s="8">
        <v>8</v>
      </c>
      <c r="G62" s="9">
        <v>0.1</v>
      </c>
      <c r="H62" s="8">
        <v>497.99</v>
      </c>
      <c r="I62" s="10">
        <v>45478</v>
      </c>
      <c r="J62" s="8">
        <v>497.99</v>
      </c>
      <c r="L62" s="36">
        <f t="shared" ca="1" si="0"/>
        <v>46310.478143171298</v>
      </c>
    </row>
    <row r="63" spans="1:12" ht="15" thickBot="1" x14ac:dyDescent="0.35">
      <c r="A63" s="8" t="s">
        <v>35</v>
      </c>
      <c r="B63" s="8" t="s">
        <v>55</v>
      </c>
      <c r="C63" s="8" t="s">
        <v>34</v>
      </c>
      <c r="D63" s="8" t="s">
        <v>39</v>
      </c>
      <c r="E63" s="16">
        <v>488.99</v>
      </c>
      <c r="F63" s="8">
        <v>9</v>
      </c>
      <c r="G63" s="9">
        <v>0</v>
      </c>
      <c r="H63" s="8">
        <v>220.05</v>
      </c>
      <c r="I63" s="10">
        <v>45479</v>
      </c>
      <c r="J63" s="8">
        <v>220.05</v>
      </c>
      <c r="L63" s="36">
        <f t="shared" ca="1" si="0"/>
        <v>46310.478143171298</v>
      </c>
    </row>
    <row r="64" spans="1:12" ht="15" thickBot="1" x14ac:dyDescent="0.35">
      <c r="A64" s="8" t="s">
        <v>30</v>
      </c>
      <c r="B64" s="8" t="s">
        <v>31</v>
      </c>
      <c r="C64" s="8" t="s">
        <v>18</v>
      </c>
      <c r="D64" s="8" t="s">
        <v>27</v>
      </c>
      <c r="E64" s="16">
        <v>933.71</v>
      </c>
      <c r="F64" s="8">
        <v>17</v>
      </c>
      <c r="G64" s="9">
        <v>0.1</v>
      </c>
      <c r="H64" s="8">
        <v>294.12</v>
      </c>
      <c r="I64" s="10">
        <v>45481</v>
      </c>
      <c r="J64" s="8">
        <v>294.12</v>
      </c>
      <c r="L64" s="36">
        <f t="shared" ca="1" si="0"/>
        <v>46310.478143171298</v>
      </c>
    </row>
    <row r="65" spans="1:12" ht="15" thickBot="1" x14ac:dyDescent="0.35">
      <c r="A65" s="8" t="s">
        <v>67</v>
      </c>
      <c r="B65" s="8" t="s">
        <v>10</v>
      </c>
      <c r="C65" s="8" t="s">
        <v>11</v>
      </c>
      <c r="D65" s="8" t="s">
        <v>21</v>
      </c>
      <c r="E65" s="16">
        <v>1005.53</v>
      </c>
      <c r="F65" s="8">
        <v>17</v>
      </c>
      <c r="G65" s="9">
        <v>0.2</v>
      </c>
      <c r="H65" s="8">
        <v>201.11</v>
      </c>
      <c r="I65" s="10">
        <v>45481</v>
      </c>
      <c r="J65" s="8">
        <v>201.11</v>
      </c>
      <c r="L65" s="36">
        <f t="shared" ca="1" si="0"/>
        <v>46310.478143171298</v>
      </c>
    </row>
    <row r="66" spans="1:12" ht="15" thickBot="1" x14ac:dyDescent="0.35">
      <c r="A66" s="8" t="s">
        <v>41</v>
      </c>
      <c r="B66" s="8" t="s">
        <v>61</v>
      </c>
      <c r="C66" s="8" t="s">
        <v>20</v>
      </c>
      <c r="D66" s="8" t="s">
        <v>21</v>
      </c>
      <c r="E66" s="16">
        <v>1100.0999999999999</v>
      </c>
      <c r="F66" s="8">
        <v>5</v>
      </c>
      <c r="G66" s="9">
        <v>0.05</v>
      </c>
      <c r="H66" s="8">
        <v>261.27</v>
      </c>
      <c r="I66" s="10">
        <v>45482</v>
      </c>
      <c r="J66" s="8">
        <v>261.27</v>
      </c>
      <c r="L66" s="36">
        <f t="shared" ca="1" si="0"/>
        <v>46310.478143171298</v>
      </c>
    </row>
    <row r="67" spans="1:12" ht="15" thickBot="1" x14ac:dyDescent="0.35">
      <c r="A67" s="8" t="s">
        <v>67</v>
      </c>
      <c r="B67" s="8" t="s">
        <v>23</v>
      </c>
      <c r="C67" s="8" t="s">
        <v>24</v>
      </c>
      <c r="D67" s="8" t="s">
        <v>27</v>
      </c>
      <c r="E67" s="16">
        <v>1034.7</v>
      </c>
      <c r="F67" s="8">
        <v>15</v>
      </c>
      <c r="G67" s="9">
        <v>0.15</v>
      </c>
      <c r="H67" s="8">
        <v>307.82</v>
      </c>
      <c r="I67" s="10">
        <v>45487</v>
      </c>
      <c r="J67" s="8">
        <v>307.82</v>
      </c>
      <c r="L67" s="36">
        <f t="shared" ref="L67:L130" ca="1" si="1">NOW()</f>
        <v>46310.478143171298</v>
      </c>
    </row>
    <row r="68" spans="1:12" ht="15" thickBot="1" x14ac:dyDescent="0.35">
      <c r="A68" s="8" t="s">
        <v>65</v>
      </c>
      <c r="B68" s="8" t="s">
        <v>31</v>
      </c>
      <c r="C68" s="8" t="s">
        <v>20</v>
      </c>
      <c r="D68" s="8" t="s">
        <v>12</v>
      </c>
      <c r="E68" s="16">
        <v>876.44</v>
      </c>
      <c r="F68" s="8">
        <v>12</v>
      </c>
      <c r="G68" s="9">
        <v>0.05</v>
      </c>
      <c r="H68" s="8">
        <v>333.05</v>
      </c>
      <c r="I68" s="10">
        <v>45488</v>
      </c>
      <c r="J68" s="8">
        <v>333.05</v>
      </c>
      <c r="L68" s="36">
        <f t="shared" ca="1" si="1"/>
        <v>46310.478143171298</v>
      </c>
    </row>
    <row r="69" spans="1:12" ht="15" thickBot="1" x14ac:dyDescent="0.35">
      <c r="A69" s="8" t="s">
        <v>68</v>
      </c>
      <c r="B69" s="8" t="s">
        <v>55</v>
      </c>
      <c r="C69" s="8" t="s">
        <v>11</v>
      </c>
      <c r="D69" s="8" t="s">
        <v>27</v>
      </c>
      <c r="E69" s="16">
        <v>1371.34</v>
      </c>
      <c r="F69" s="8">
        <v>5</v>
      </c>
      <c r="G69" s="9">
        <v>0.05</v>
      </c>
      <c r="H69" s="8">
        <v>455.97</v>
      </c>
      <c r="I69" s="10">
        <v>45488</v>
      </c>
      <c r="J69" s="8">
        <v>455.97</v>
      </c>
      <c r="L69" s="36">
        <f t="shared" ca="1" si="1"/>
        <v>46310.478143171298</v>
      </c>
    </row>
    <row r="70" spans="1:12" ht="15" thickBot="1" x14ac:dyDescent="0.35">
      <c r="A70" s="8" t="s">
        <v>57</v>
      </c>
      <c r="B70" s="8" t="s">
        <v>47</v>
      </c>
      <c r="C70" s="8" t="s">
        <v>24</v>
      </c>
      <c r="D70" s="8" t="s">
        <v>21</v>
      </c>
      <c r="E70" s="16">
        <v>1020.26</v>
      </c>
      <c r="F70" s="8">
        <v>11</v>
      </c>
      <c r="G70" s="9">
        <v>0.05</v>
      </c>
      <c r="H70" s="8">
        <v>242.31</v>
      </c>
      <c r="I70" s="10">
        <v>45494</v>
      </c>
      <c r="J70" s="8">
        <v>242.31</v>
      </c>
      <c r="L70" s="36">
        <f t="shared" ca="1" si="1"/>
        <v>46310.478143171298</v>
      </c>
    </row>
    <row r="71" spans="1:12" ht="15" thickBot="1" x14ac:dyDescent="0.35">
      <c r="A71" s="8" t="s">
        <v>44</v>
      </c>
      <c r="B71" s="8" t="s">
        <v>10</v>
      </c>
      <c r="C71" s="8" t="s">
        <v>34</v>
      </c>
      <c r="D71" s="8" t="s">
        <v>39</v>
      </c>
      <c r="E71" s="16">
        <v>804.81</v>
      </c>
      <c r="F71" s="8">
        <v>1</v>
      </c>
      <c r="G71" s="9">
        <v>0.05</v>
      </c>
      <c r="H71" s="8">
        <v>344.06</v>
      </c>
      <c r="I71" s="10">
        <v>45502</v>
      </c>
      <c r="J71" s="8">
        <v>344.06</v>
      </c>
      <c r="L71" s="36">
        <f t="shared" ca="1" si="1"/>
        <v>46310.478143171298</v>
      </c>
    </row>
    <row r="72" spans="1:12" ht="15" thickBot="1" x14ac:dyDescent="0.35">
      <c r="A72" s="8" t="s">
        <v>22</v>
      </c>
      <c r="B72" s="8" t="s">
        <v>55</v>
      </c>
      <c r="C72" s="8" t="s">
        <v>34</v>
      </c>
      <c r="D72" s="8" t="s">
        <v>21</v>
      </c>
      <c r="E72" s="16">
        <v>608.66</v>
      </c>
      <c r="F72" s="8">
        <v>1</v>
      </c>
      <c r="G72" s="9">
        <v>0.05</v>
      </c>
      <c r="H72" s="8">
        <v>144.56</v>
      </c>
      <c r="I72" s="10">
        <v>45503</v>
      </c>
      <c r="J72" s="8">
        <v>144.56</v>
      </c>
      <c r="L72" s="36">
        <f t="shared" ca="1" si="1"/>
        <v>46310.478143171298</v>
      </c>
    </row>
    <row r="73" spans="1:12" ht="15" thickBot="1" x14ac:dyDescent="0.35">
      <c r="A73" s="8" t="s">
        <v>68</v>
      </c>
      <c r="B73" s="8" t="s">
        <v>69</v>
      </c>
      <c r="C73" s="8" t="s">
        <v>20</v>
      </c>
      <c r="D73" s="8" t="s">
        <v>39</v>
      </c>
      <c r="E73" s="16">
        <v>981.2</v>
      </c>
      <c r="F73" s="8">
        <v>19</v>
      </c>
      <c r="G73" s="9">
        <v>0</v>
      </c>
      <c r="H73" s="8">
        <v>441.54</v>
      </c>
      <c r="I73" s="10">
        <v>45504</v>
      </c>
      <c r="J73" s="8">
        <v>441.54</v>
      </c>
      <c r="L73" s="36">
        <f t="shared" ca="1" si="1"/>
        <v>46310.478143171298</v>
      </c>
    </row>
    <row r="74" spans="1:12" ht="15" thickBot="1" x14ac:dyDescent="0.35">
      <c r="A74" s="8" t="s">
        <v>70</v>
      </c>
      <c r="B74" s="8" t="s">
        <v>55</v>
      </c>
      <c r="C74" s="8" t="s">
        <v>18</v>
      </c>
      <c r="D74" s="8" t="s">
        <v>21</v>
      </c>
      <c r="E74" s="16">
        <v>539.77</v>
      </c>
      <c r="F74" s="8">
        <v>10</v>
      </c>
      <c r="G74" s="9">
        <v>0.15</v>
      </c>
      <c r="H74" s="8">
        <v>114.7</v>
      </c>
      <c r="I74" s="10">
        <v>45509</v>
      </c>
      <c r="J74" s="8">
        <v>114.7</v>
      </c>
      <c r="L74" s="36">
        <f t="shared" ca="1" si="1"/>
        <v>46310.478143171298</v>
      </c>
    </row>
    <row r="75" spans="1:12" ht="15" thickBot="1" x14ac:dyDescent="0.35">
      <c r="A75" s="8" t="s">
        <v>13</v>
      </c>
      <c r="B75" s="8" t="s">
        <v>71</v>
      </c>
      <c r="C75" s="8" t="s">
        <v>20</v>
      </c>
      <c r="D75" s="8" t="s">
        <v>12</v>
      </c>
      <c r="E75" s="16">
        <v>804.45</v>
      </c>
      <c r="F75" s="8">
        <v>5</v>
      </c>
      <c r="G75" s="9">
        <v>0.2</v>
      </c>
      <c r="H75" s="8">
        <v>257.42</v>
      </c>
      <c r="I75" s="10">
        <v>45509</v>
      </c>
      <c r="J75" s="8">
        <v>257.42</v>
      </c>
      <c r="L75" s="36">
        <f t="shared" ca="1" si="1"/>
        <v>46310.478143171298</v>
      </c>
    </row>
    <row r="76" spans="1:12" ht="15" thickBot="1" x14ac:dyDescent="0.35">
      <c r="A76" s="8" t="s">
        <v>70</v>
      </c>
      <c r="B76" s="8" t="s">
        <v>38</v>
      </c>
      <c r="C76" s="8" t="s">
        <v>11</v>
      </c>
      <c r="D76" s="8" t="s">
        <v>21</v>
      </c>
      <c r="E76" s="16">
        <v>1526.6</v>
      </c>
      <c r="F76" s="8">
        <v>13</v>
      </c>
      <c r="G76" s="9">
        <v>0.2</v>
      </c>
      <c r="H76" s="8">
        <v>305.32</v>
      </c>
      <c r="I76" s="10">
        <v>45512</v>
      </c>
      <c r="J76" s="8">
        <v>305.32</v>
      </c>
      <c r="L76" s="36">
        <f t="shared" ca="1" si="1"/>
        <v>46310.478143171298</v>
      </c>
    </row>
    <row r="77" spans="1:12" ht="15" thickBot="1" x14ac:dyDescent="0.35">
      <c r="A77" s="8" t="s">
        <v>13</v>
      </c>
      <c r="B77" s="8" t="s">
        <v>29</v>
      </c>
      <c r="C77" s="8" t="s">
        <v>11</v>
      </c>
      <c r="D77" s="8" t="s">
        <v>21</v>
      </c>
      <c r="E77" s="16">
        <v>1215.26</v>
      </c>
      <c r="F77" s="8">
        <v>5</v>
      </c>
      <c r="G77" s="9">
        <v>0.15</v>
      </c>
      <c r="H77" s="8">
        <v>258.24</v>
      </c>
      <c r="I77" s="10">
        <v>45513</v>
      </c>
      <c r="J77" s="8">
        <v>258.24</v>
      </c>
      <c r="L77" s="36">
        <f t="shared" ca="1" si="1"/>
        <v>46310.478143171298</v>
      </c>
    </row>
    <row r="78" spans="1:12" ht="15" thickBot="1" x14ac:dyDescent="0.35">
      <c r="A78" s="8" t="s">
        <v>19</v>
      </c>
      <c r="B78" s="8" t="s">
        <v>53</v>
      </c>
      <c r="C78" s="8" t="s">
        <v>34</v>
      </c>
      <c r="D78" s="8" t="s">
        <v>27</v>
      </c>
      <c r="E78" s="16">
        <v>1261.3399999999999</v>
      </c>
      <c r="F78" s="8">
        <v>3</v>
      </c>
      <c r="G78" s="9">
        <v>0</v>
      </c>
      <c r="H78" s="8">
        <v>441.47</v>
      </c>
      <c r="I78" s="10">
        <v>45519</v>
      </c>
      <c r="J78" s="8">
        <v>441.47</v>
      </c>
      <c r="L78" s="36">
        <f t="shared" ca="1" si="1"/>
        <v>46310.478143171298</v>
      </c>
    </row>
    <row r="79" spans="1:12" ht="15" thickBot="1" x14ac:dyDescent="0.35">
      <c r="A79" s="8" t="s">
        <v>72</v>
      </c>
      <c r="B79" s="8" t="s">
        <v>45</v>
      </c>
      <c r="C79" s="8" t="s">
        <v>24</v>
      </c>
      <c r="D79" s="8" t="s">
        <v>27</v>
      </c>
      <c r="E79" s="16">
        <v>518.07000000000005</v>
      </c>
      <c r="F79" s="8">
        <v>7</v>
      </c>
      <c r="G79" s="9">
        <v>0.05</v>
      </c>
      <c r="H79" s="8">
        <v>172.26</v>
      </c>
      <c r="I79" s="10">
        <v>45522</v>
      </c>
      <c r="J79" s="8">
        <v>172.26</v>
      </c>
      <c r="L79" s="36">
        <f t="shared" ca="1" si="1"/>
        <v>46310.478143171298</v>
      </c>
    </row>
    <row r="80" spans="1:12" ht="15" thickBot="1" x14ac:dyDescent="0.35">
      <c r="A80" s="8" t="s">
        <v>30</v>
      </c>
      <c r="B80" s="8" t="s">
        <v>29</v>
      </c>
      <c r="C80" s="8" t="s">
        <v>11</v>
      </c>
      <c r="D80" s="8" t="s">
        <v>39</v>
      </c>
      <c r="E80" s="16">
        <v>1111.3399999999999</v>
      </c>
      <c r="F80" s="8">
        <v>1</v>
      </c>
      <c r="G80" s="9">
        <v>0</v>
      </c>
      <c r="H80" s="8">
        <v>500.1</v>
      </c>
      <c r="I80" s="10">
        <v>45523</v>
      </c>
      <c r="J80" s="8">
        <v>500.1</v>
      </c>
      <c r="L80" s="36">
        <f t="shared" ca="1" si="1"/>
        <v>46310.478143171298</v>
      </c>
    </row>
    <row r="81" spans="1:12" ht="15" thickBot="1" x14ac:dyDescent="0.35">
      <c r="A81" s="8" t="s">
        <v>22</v>
      </c>
      <c r="B81" s="8" t="s">
        <v>31</v>
      </c>
      <c r="C81" s="8" t="s">
        <v>18</v>
      </c>
      <c r="D81" s="8" t="s">
        <v>15</v>
      </c>
      <c r="E81" s="16">
        <v>1291.47</v>
      </c>
      <c r="F81" s="8">
        <v>18</v>
      </c>
      <c r="G81" s="9">
        <v>0.1</v>
      </c>
      <c r="H81" s="8">
        <v>581.16</v>
      </c>
      <c r="I81" s="10">
        <v>45526</v>
      </c>
      <c r="J81" s="8">
        <v>581.16</v>
      </c>
      <c r="L81" s="36">
        <f t="shared" ca="1" si="1"/>
        <v>46310.478143171298</v>
      </c>
    </row>
    <row r="82" spans="1:12" ht="15" thickBot="1" x14ac:dyDescent="0.35">
      <c r="A82" s="8" t="s">
        <v>25</v>
      </c>
      <c r="B82" s="8" t="s">
        <v>55</v>
      </c>
      <c r="C82" s="8" t="s">
        <v>24</v>
      </c>
      <c r="D82" s="8" t="s">
        <v>12</v>
      </c>
      <c r="E82" s="16">
        <v>679.71</v>
      </c>
      <c r="F82" s="8">
        <v>19</v>
      </c>
      <c r="G82" s="9">
        <v>0</v>
      </c>
      <c r="H82" s="8">
        <v>271.88</v>
      </c>
      <c r="I82" s="10">
        <v>45534</v>
      </c>
      <c r="J82" s="8">
        <v>271.88</v>
      </c>
      <c r="L82" s="36">
        <f t="shared" ca="1" si="1"/>
        <v>46310.478143171298</v>
      </c>
    </row>
    <row r="83" spans="1:12" ht="15" thickBot="1" x14ac:dyDescent="0.35">
      <c r="A83" s="8" t="s">
        <v>68</v>
      </c>
      <c r="B83" s="8" t="s">
        <v>33</v>
      </c>
      <c r="C83" s="8" t="s">
        <v>18</v>
      </c>
      <c r="D83" s="8" t="s">
        <v>27</v>
      </c>
      <c r="E83" s="16">
        <v>1143.69</v>
      </c>
      <c r="F83" s="8">
        <v>17</v>
      </c>
      <c r="G83" s="9">
        <v>0</v>
      </c>
      <c r="H83" s="8">
        <v>400.29</v>
      </c>
      <c r="I83" s="10">
        <v>45534</v>
      </c>
      <c r="J83" s="8">
        <v>400.29</v>
      </c>
      <c r="L83" s="36">
        <f t="shared" ca="1" si="1"/>
        <v>46310.478143171298</v>
      </c>
    </row>
    <row r="84" spans="1:12" ht="15" thickBot="1" x14ac:dyDescent="0.35">
      <c r="A84" s="8" t="s">
        <v>52</v>
      </c>
      <c r="B84" s="8" t="s">
        <v>50</v>
      </c>
      <c r="C84" s="8" t="s">
        <v>34</v>
      </c>
      <c r="D84" s="8" t="s">
        <v>21</v>
      </c>
      <c r="E84" s="16">
        <v>790.08</v>
      </c>
      <c r="F84" s="8">
        <v>7</v>
      </c>
      <c r="G84" s="9">
        <v>0.1</v>
      </c>
      <c r="H84" s="8">
        <v>177.77</v>
      </c>
      <c r="I84" s="10">
        <v>45536</v>
      </c>
      <c r="J84" s="8">
        <v>177.77</v>
      </c>
      <c r="L84" s="36">
        <f t="shared" ca="1" si="1"/>
        <v>46310.478143171298</v>
      </c>
    </row>
    <row r="85" spans="1:12" ht="15" thickBot="1" x14ac:dyDescent="0.35">
      <c r="A85" s="8" t="s">
        <v>19</v>
      </c>
      <c r="B85" s="8" t="s">
        <v>48</v>
      </c>
      <c r="C85" s="8" t="s">
        <v>34</v>
      </c>
      <c r="D85" s="8" t="s">
        <v>12</v>
      </c>
      <c r="E85" s="16">
        <v>1070.68</v>
      </c>
      <c r="F85" s="8">
        <v>7</v>
      </c>
      <c r="G85" s="9">
        <v>0.05</v>
      </c>
      <c r="H85" s="8">
        <v>406.86</v>
      </c>
      <c r="I85" s="10">
        <v>45536</v>
      </c>
      <c r="J85" s="8">
        <v>406.86</v>
      </c>
      <c r="L85" s="36">
        <f t="shared" ca="1" si="1"/>
        <v>46310.478143171298</v>
      </c>
    </row>
    <row r="86" spans="1:12" ht="15" thickBot="1" x14ac:dyDescent="0.35">
      <c r="A86" s="8" t="s">
        <v>58</v>
      </c>
      <c r="B86" s="8" t="s">
        <v>36</v>
      </c>
      <c r="C86" s="8" t="s">
        <v>11</v>
      </c>
      <c r="D86" s="8" t="s">
        <v>15</v>
      </c>
      <c r="E86" s="16">
        <v>1168.8900000000001</v>
      </c>
      <c r="F86" s="8">
        <v>4</v>
      </c>
      <c r="G86" s="9">
        <v>0.1</v>
      </c>
      <c r="H86" s="8">
        <v>526</v>
      </c>
      <c r="I86" s="10">
        <v>45544</v>
      </c>
      <c r="J86" s="8">
        <v>526</v>
      </c>
      <c r="L86" s="36">
        <f t="shared" ca="1" si="1"/>
        <v>46310.478143171298</v>
      </c>
    </row>
    <row r="87" spans="1:12" ht="15" thickBot="1" x14ac:dyDescent="0.35">
      <c r="A87" s="8" t="s">
        <v>67</v>
      </c>
      <c r="B87" s="8" t="s">
        <v>10</v>
      </c>
      <c r="C87" s="8" t="s">
        <v>20</v>
      </c>
      <c r="D87" s="8" t="s">
        <v>21</v>
      </c>
      <c r="E87" s="16">
        <v>1335.87</v>
      </c>
      <c r="F87" s="8">
        <v>17</v>
      </c>
      <c r="G87" s="9">
        <v>0</v>
      </c>
      <c r="H87" s="8">
        <v>333.97</v>
      </c>
      <c r="I87" s="10">
        <v>45544</v>
      </c>
      <c r="J87" s="8">
        <v>333.97</v>
      </c>
      <c r="L87" s="36">
        <f t="shared" ca="1" si="1"/>
        <v>46310.478143171298</v>
      </c>
    </row>
    <row r="88" spans="1:12" ht="15" thickBot="1" x14ac:dyDescent="0.35">
      <c r="A88" s="8" t="s">
        <v>40</v>
      </c>
      <c r="B88" s="8" t="s">
        <v>55</v>
      </c>
      <c r="C88" s="8" t="s">
        <v>18</v>
      </c>
      <c r="D88" s="8" t="s">
        <v>27</v>
      </c>
      <c r="E88" s="16">
        <v>873.7</v>
      </c>
      <c r="F88" s="8">
        <v>9</v>
      </c>
      <c r="G88" s="9">
        <v>0</v>
      </c>
      <c r="H88" s="8">
        <v>305.8</v>
      </c>
      <c r="I88" s="10">
        <v>45546</v>
      </c>
      <c r="J88" s="8">
        <v>305.8</v>
      </c>
      <c r="L88" s="36">
        <f t="shared" ca="1" si="1"/>
        <v>46310.478143171298</v>
      </c>
    </row>
    <row r="89" spans="1:12" ht="15" thickBot="1" x14ac:dyDescent="0.35">
      <c r="A89" s="8" t="s">
        <v>72</v>
      </c>
      <c r="B89" s="8" t="s">
        <v>64</v>
      </c>
      <c r="C89" s="8" t="s">
        <v>11</v>
      </c>
      <c r="D89" s="8" t="s">
        <v>39</v>
      </c>
      <c r="E89" s="16">
        <v>1443.98</v>
      </c>
      <c r="F89" s="8">
        <v>19</v>
      </c>
      <c r="G89" s="9">
        <v>0</v>
      </c>
      <c r="H89" s="8">
        <v>649.79</v>
      </c>
      <c r="I89" s="10">
        <v>45547</v>
      </c>
      <c r="J89" s="8">
        <v>649.79</v>
      </c>
      <c r="L89" s="36">
        <f t="shared" ca="1" si="1"/>
        <v>46310.478143171298</v>
      </c>
    </row>
    <row r="90" spans="1:12" ht="15" thickBot="1" x14ac:dyDescent="0.35">
      <c r="A90" s="8" t="s">
        <v>40</v>
      </c>
      <c r="B90" s="8" t="s">
        <v>23</v>
      </c>
      <c r="C90" s="8" t="s">
        <v>18</v>
      </c>
      <c r="D90" s="8" t="s">
        <v>39</v>
      </c>
      <c r="E90" s="16">
        <v>1154.33</v>
      </c>
      <c r="F90" s="8">
        <v>11</v>
      </c>
      <c r="G90" s="9">
        <v>0.15</v>
      </c>
      <c r="H90" s="8">
        <v>441.53</v>
      </c>
      <c r="I90" s="10">
        <v>45549</v>
      </c>
      <c r="J90" s="8">
        <v>441.53</v>
      </c>
      <c r="L90" s="36">
        <f t="shared" ca="1" si="1"/>
        <v>46310.478143171298</v>
      </c>
    </row>
    <row r="91" spans="1:12" ht="15" thickBot="1" x14ac:dyDescent="0.35">
      <c r="A91" s="8" t="s">
        <v>49</v>
      </c>
      <c r="B91" s="8" t="s">
        <v>50</v>
      </c>
      <c r="C91" s="8" t="s">
        <v>20</v>
      </c>
      <c r="D91" s="8" t="s">
        <v>12</v>
      </c>
      <c r="E91" s="16">
        <v>1264.49</v>
      </c>
      <c r="F91" s="8">
        <v>16</v>
      </c>
      <c r="G91" s="9">
        <v>0.05</v>
      </c>
      <c r="H91" s="8">
        <v>480.51</v>
      </c>
      <c r="I91" s="10">
        <v>45549</v>
      </c>
      <c r="J91" s="8">
        <v>480.51</v>
      </c>
      <c r="L91" s="36">
        <f t="shared" ca="1" si="1"/>
        <v>46310.478143171298</v>
      </c>
    </row>
    <row r="92" spans="1:12" ht="15" thickBot="1" x14ac:dyDescent="0.35">
      <c r="A92" s="8" t="s">
        <v>25</v>
      </c>
      <c r="B92" s="8" t="s">
        <v>66</v>
      </c>
      <c r="C92" s="8" t="s">
        <v>11</v>
      </c>
      <c r="D92" s="8" t="s">
        <v>27</v>
      </c>
      <c r="E92" s="16">
        <v>1101.55</v>
      </c>
      <c r="F92" s="8">
        <v>4</v>
      </c>
      <c r="G92" s="9">
        <v>0.1</v>
      </c>
      <c r="H92" s="8">
        <v>346.99</v>
      </c>
      <c r="I92" s="10">
        <v>45551</v>
      </c>
      <c r="J92" s="8">
        <v>346.99</v>
      </c>
      <c r="L92" s="36">
        <f t="shared" ca="1" si="1"/>
        <v>46310.478143171298</v>
      </c>
    </row>
    <row r="93" spans="1:12" ht="15" thickBot="1" x14ac:dyDescent="0.35">
      <c r="A93" s="8" t="s">
        <v>73</v>
      </c>
      <c r="B93" s="8" t="s">
        <v>14</v>
      </c>
      <c r="C93" s="8" t="s">
        <v>20</v>
      </c>
      <c r="D93" s="8" t="s">
        <v>27</v>
      </c>
      <c r="E93" s="16">
        <v>727.73</v>
      </c>
      <c r="F93" s="8">
        <v>1</v>
      </c>
      <c r="G93" s="9">
        <v>0.1</v>
      </c>
      <c r="H93" s="8">
        <v>229.23</v>
      </c>
      <c r="I93" s="10">
        <v>45552</v>
      </c>
      <c r="J93" s="8">
        <v>229.23</v>
      </c>
      <c r="L93" s="36">
        <f t="shared" ca="1" si="1"/>
        <v>46310.478143171298</v>
      </c>
    </row>
    <row r="94" spans="1:12" ht="15" thickBot="1" x14ac:dyDescent="0.35">
      <c r="A94" s="8" t="s">
        <v>74</v>
      </c>
      <c r="B94" s="8" t="s">
        <v>38</v>
      </c>
      <c r="C94" s="8" t="s">
        <v>18</v>
      </c>
      <c r="D94" s="8" t="s">
        <v>39</v>
      </c>
      <c r="E94" s="16">
        <v>875.41</v>
      </c>
      <c r="F94" s="8">
        <v>13</v>
      </c>
      <c r="G94" s="9">
        <v>0.15</v>
      </c>
      <c r="H94" s="8">
        <v>334.84</v>
      </c>
      <c r="I94" s="10">
        <v>45552</v>
      </c>
      <c r="J94" s="8">
        <v>334.84</v>
      </c>
      <c r="L94" s="36">
        <f t="shared" ca="1" si="1"/>
        <v>46310.478143171298</v>
      </c>
    </row>
    <row r="95" spans="1:12" ht="15" thickBot="1" x14ac:dyDescent="0.35">
      <c r="A95" s="8" t="s">
        <v>67</v>
      </c>
      <c r="B95" s="8" t="s">
        <v>23</v>
      </c>
      <c r="C95" s="8" t="s">
        <v>11</v>
      </c>
      <c r="D95" s="8" t="s">
        <v>21</v>
      </c>
      <c r="E95" s="16">
        <v>1158.94</v>
      </c>
      <c r="F95" s="8">
        <v>19</v>
      </c>
      <c r="G95" s="9">
        <v>0.2</v>
      </c>
      <c r="H95" s="8">
        <v>231.79</v>
      </c>
      <c r="I95" s="10">
        <v>45553</v>
      </c>
      <c r="J95" s="8">
        <v>231.79</v>
      </c>
      <c r="L95" s="36">
        <f t="shared" ca="1" si="1"/>
        <v>46310.478143171298</v>
      </c>
    </row>
    <row r="96" spans="1:12" ht="15" thickBot="1" x14ac:dyDescent="0.35">
      <c r="A96" s="8" t="s">
        <v>75</v>
      </c>
      <c r="B96" s="8" t="s">
        <v>47</v>
      </c>
      <c r="C96" s="8" t="s">
        <v>20</v>
      </c>
      <c r="D96" s="8" t="s">
        <v>12</v>
      </c>
      <c r="E96" s="16">
        <v>966.3</v>
      </c>
      <c r="F96" s="8">
        <v>2</v>
      </c>
      <c r="G96" s="9">
        <v>0.15</v>
      </c>
      <c r="H96" s="8">
        <v>328.54</v>
      </c>
      <c r="I96" s="10">
        <v>45557</v>
      </c>
      <c r="J96" s="8">
        <v>328.54</v>
      </c>
      <c r="L96" s="36">
        <f t="shared" ca="1" si="1"/>
        <v>46310.478143171298</v>
      </c>
    </row>
    <row r="97" spans="1:12" ht="15" thickBot="1" x14ac:dyDescent="0.35">
      <c r="A97" s="8" t="s">
        <v>68</v>
      </c>
      <c r="B97" s="8" t="s">
        <v>17</v>
      </c>
      <c r="C97" s="8" t="s">
        <v>20</v>
      </c>
      <c r="D97" s="8" t="s">
        <v>12</v>
      </c>
      <c r="E97" s="16">
        <v>917.48</v>
      </c>
      <c r="F97" s="8">
        <v>6</v>
      </c>
      <c r="G97" s="9">
        <v>0</v>
      </c>
      <c r="H97" s="8">
        <v>366.99</v>
      </c>
      <c r="I97" s="10">
        <v>45558</v>
      </c>
      <c r="J97" s="8">
        <v>366.99</v>
      </c>
      <c r="L97" s="36">
        <f t="shared" ca="1" si="1"/>
        <v>46310.478143171298</v>
      </c>
    </row>
    <row r="98" spans="1:12" ht="15" thickBot="1" x14ac:dyDescent="0.35">
      <c r="A98" s="8" t="s">
        <v>41</v>
      </c>
      <c r="B98" s="8" t="s">
        <v>61</v>
      </c>
      <c r="C98" s="8" t="s">
        <v>11</v>
      </c>
      <c r="D98" s="8" t="s">
        <v>27</v>
      </c>
      <c r="E98" s="16">
        <v>1172.97</v>
      </c>
      <c r="F98" s="8">
        <v>7</v>
      </c>
      <c r="G98" s="9">
        <v>0.15</v>
      </c>
      <c r="H98" s="8">
        <v>348.96</v>
      </c>
      <c r="I98" s="10">
        <v>45559</v>
      </c>
      <c r="J98" s="8">
        <v>348.96</v>
      </c>
      <c r="L98" s="36">
        <f t="shared" ca="1" si="1"/>
        <v>46310.478143171298</v>
      </c>
    </row>
    <row r="99" spans="1:12" ht="15" thickBot="1" x14ac:dyDescent="0.35">
      <c r="A99" s="8" t="s">
        <v>57</v>
      </c>
      <c r="B99" s="8" t="s">
        <v>23</v>
      </c>
      <c r="C99" s="8" t="s">
        <v>24</v>
      </c>
      <c r="D99" s="8" t="s">
        <v>15</v>
      </c>
      <c r="E99" s="16">
        <v>1205.82</v>
      </c>
      <c r="F99" s="8">
        <v>11</v>
      </c>
      <c r="G99" s="9">
        <v>0.1</v>
      </c>
      <c r="H99" s="8">
        <v>542.62</v>
      </c>
      <c r="I99" s="10">
        <v>45559</v>
      </c>
      <c r="J99" s="8">
        <v>542.62</v>
      </c>
      <c r="L99" s="36">
        <f t="shared" ca="1" si="1"/>
        <v>46310.478143171298</v>
      </c>
    </row>
    <row r="100" spans="1:12" ht="15" thickBot="1" x14ac:dyDescent="0.35">
      <c r="A100" s="8" t="s">
        <v>16</v>
      </c>
      <c r="B100" s="8" t="s">
        <v>64</v>
      </c>
      <c r="C100" s="8" t="s">
        <v>11</v>
      </c>
      <c r="D100" s="8" t="s">
        <v>39</v>
      </c>
      <c r="E100" s="16">
        <v>826.93</v>
      </c>
      <c r="F100" s="8">
        <v>10</v>
      </c>
      <c r="G100" s="9">
        <v>0.2</v>
      </c>
      <c r="H100" s="8">
        <v>297.69</v>
      </c>
      <c r="I100" s="10">
        <v>45564</v>
      </c>
      <c r="J100" s="8">
        <v>297.69</v>
      </c>
      <c r="L100" s="36">
        <f t="shared" ca="1" si="1"/>
        <v>46310.478143171298</v>
      </c>
    </row>
    <row r="101" spans="1:12" ht="15" thickBot="1" x14ac:dyDescent="0.35">
      <c r="A101" s="8" t="s">
        <v>67</v>
      </c>
      <c r="B101" s="8" t="s">
        <v>23</v>
      </c>
      <c r="C101" s="8" t="s">
        <v>34</v>
      </c>
      <c r="D101" s="8" t="s">
        <v>15</v>
      </c>
      <c r="E101" s="16">
        <v>902.19</v>
      </c>
      <c r="F101" s="8">
        <v>12</v>
      </c>
      <c r="G101" s="9">
        <v>0</v>
      </c>
      <c r="H101" s="8">
        <v>451.1</v>
      </c>
      <c r="I101" s="10">
        <v>45564</v>
      </c>
      <c r="J101" s="8">
        <v>451.1</v>
      </c>
      <c r="L101" s="36">
        <f t="shared" ca="1" si="1"/>
        <v>46310.478143171298</v>
      </c>
    </row>
    <row r="102" spans="1:12" ht="15" thickBot="1" x14ac:dyDescent="0.35">
      <c r="A102" s="8" t="s">
        <v>74</v>
      </c>
      <c r="B102" s="8" t="s">
        <v>38</v>
      </c>
      <c r="C102" s="8" t="s">
        <v>24</v>
      </c>
      <c r="D102" s="8" t="s">
        <v>12</v>
      </c>
      <c r="E102" s="16">
        <v>585.97</v>
      </c>
      <c r="F102" s="8">
        <v>17</v>
      </c>
      <c r="G102" s="9">
        <v>0.1</v>
      </c>
      <c r="H102" s="8">
        <v>210.95</v>
      </c>
      <c r="I102" s="10">
        <v>45565</v>
      </c>
      <c r="J102" s="8">
        <v>210.95</v>
      </c>
      <c r="L102" s="36">
        <f t="shared" ca="1" si="1"/>
        <v>46310.478143171298</v>
      </c>
    </row>
    <row r="103" spans="1:12" ht="15" thickBot="1" x14ac:dyDescent="0.35">
      <c r="A103" s="8" t="s">
        <v>60</v>
      </c>
      <c r="B103" s="8" t="s">
        <v>26</v>
      </c>
      <c r="C103" s="8" t="s">
        <v>24</v>
      </c>
      <c r="D103" s="8" t="s">
        <v>15</v>
      </c>
      <c r="E103" s="16">
        <v>990.19</v>
      </c>
      <c r="F103" s="8">
        <v>8</v>
      </c>
      <c r="G103" s="9">
        <v>0.1</v>
      </c>
      <c r="H103" s="8">
        <v>445.59</v>
      </c>
      <c r="I103" s="10">
        <v>45565</v>
      </c>
      <c r="J103" s="8">
        <v>445.59</v>
      </c>
      <c r="L103" s="36">
        <f t="shared" ca="1" si="1"/>
        <v>46310.478143171298</v>
      </c>
    </row>
    <row r="104" spans="1:12" ht="15" thickBot="1" x14ac:dyDescent="0.35">
      <c r="A104" s="8" t="s">
        <v>44</v>
      </c>
      <c r="B104" s="8" t="s">
        <v>56</v>
      </c>
      <c r="C104" s="8" t="s">
        <v>34</v>
      </c>
      <c r="D104" s="8" t="s">
        <v>21</v>
      </c>
      <c r="E104" s="16">
        <v>1014.09</v>
      </c>
      <c r="F104" s="8">
        <v>13</v>
      </c>
      <c r="G104" s="9">
        <v>0.2</v>
      </c>
      <c r="H104" s="8">
        <v>202.82</v>
      </c>
      <c r="I104" s="10">
        <v>45567</v>
      </c>
      <c r="J104" s="8">
        <v>202.82</v>
      </c>
      <c r="L104" s="36">
        <f t="shared" ca="1" si="1"/>
        <v>46310.478143171298</v>
      </c>
    </row>
    <row r="105" spans="1:12" ht="15" thickBot="1" x14ac:dyDescent="0.35">
      <c r="A105" s="8" t="s">
        <v>13</v>
      </c>
      <c r="B105" s="8" t="s">
        <v>48</v>
      </c>
      <c r="C105" s="8" t="s">
        <v>24</v>
      </c>
      <c r="D105" s="8" t="s">
        <v>21</v>
      </c>
      <c r="E105" s="16">
        <v>925.29</v>
      </c>
      <c r="F105" s="8">
        <v>17</v>
      </c>
      <c r="G105" s="9">
        <v>0</v>
      </c>
      <c r="H105" s="8">
        <v>231.32</v>
      </c>
      <c r="I105" s="10">
        <v>45570</v>
      </c>
      <c r="J105" s="8">
        <v>231.32</v>
      </c>
      <c r="L105" s="36">
        <f t="shared" ca="1" si="1"/>
        <v>46310.478143171298</v>
      </c>
    </row>
    <row r="106" spans="1:12" ht="15" thickBot="1" x14ac:dyDescent="0.35">
      <c r="A106" s="8" t="s">
        <v>54</v>
      </c>
      <c r="B106" s="8" t="s">
        <v>47</v>
      </c>
      <c r="C106" s="8" t="s">
        <v>18</v>
      </c>
      <c r="D106" s="8" t="s">
        <v>27</v>
      </c>
      <c r="E106" s="16">
        <v>1286.54</v>
      </c>
      <c r="F106" s="8">
        <v>8</v>
      </c>
      <c r="G106" s="9">
        <v>0</v>
      </c>
      <c r="H106" s="8">
        <v>450.29</v>
      </c>
      <c r="I106" s="10">
        <v>45575</v>
      </c>
      <c r="J106" s="8">
        <v>450.29</v>
      </c>
      <c r="L106" s="36">
        <f t="shared" ca="1" si="1"/>
        <v>46310.478143171298</v>
      </c>
    </row>
    <row r="107" spans="1:12" ht="15" thickBot="1" x14ac:dyDescent="0.35">
      <c r="A107" s="8" t="s">
        <v>37</v>
      </c>
      <c r="B107" s="8" t="s">
        <v>64</v>
      </c>
      <c r="C107" s="8" t="s">
        <v>20</v>
      </c>
      <c r="D107" s="8" t="s">
        <v>12</v>
      </c>
      <c r="E107" s="16">
        <v>961.62</v>
      </c>
      <c r="F107" s="8">
        <v>8</v>
      </c>
      <c r="G107" s="9">
        <v>0.2</v>
      </c>
      <c r="H107" s="8">
        <v>307.72000000000003</v>
      </c>
      <c r="I107" s="10">
        <v>45577</v>
      </c>
      <c r="J107" s="8">
        <v>307.72000000000003</v>
      </c>
      <c r="L107" s="36">
        <f t="shared" ca="1" si="1"/>
        <v>46310.478143171298</v>
      </c>
    </row>
    <row r="108" spans="1:12" ht="15" thickBot="1" x14ac:dyDescent="0.35">
      <c r="A108" s="8" t="s">
        <v>44</v>
      </c>
      <c r="B108" s="8" t="s">
        <v>23</v>
      </c>
      <c r="C108" s="8" t="s">
        <v>18</v>
      </c>
      <c r="D108" s="8" t="s">
        <v>12</v>
      </c>
      <c r="E108" s="16">
        <v>1081.1400000000001</v>
      </c>
      <c r="F108" s="8">
        <v>19</v>
      </c>
      <c r="G108" s="9">
        <v>0.15</v>
      </c>
      <c r="H108" s="8">
        <v>367.59</v>
      </c>
      <c r="I108" s="10">
        <v>45577</v>
      </c>
      <c r="J108" s="8">
        <v>367.59</v>
      </c>
      <c r="L108" s="36">
        <f t="shared" ca="1" si="1"/>
        <v>46310.478143171298</v>
      </c>
    </row>
    <row r="109" spans="1:12" ht="15" thickBot="1" x14ac:dyDescent="0.35">
      <c r="A109" s="8" t="s">
        <v>58</v>
      </c>
      <c r="B109" s="8" t="s">
        <v>23</v>
      </c>
      <c r="C109" s="8" t="s">
        <v>11</v>
      </c>
      <c r="D109" s="8" t="s">
        <v>15</v>
      </c>
      <c r="E109" s="16">
        <v>1923.66</v>
      </c>
      <c r="F109" s="8">
        <v>9</v>
      </c>
      <c r="G109" s="9">
        <v>0.2</v>
      </c>
      <c r="H109" s="8">
        <v>769.46</v>
      </c>
      <c r="I109" s="10">
        <v>45580</v>
      </c>
      <c r="J109" s="8">
        <v>769.46</v>
      </c>
      <c r="L109" s="36">
        <f t="shared" ca="1" si="1"/>
        <v>46310.478143171298</v>
      </c>
    </row>
    <row r="110" spans="1:12" ht="15" thickBot="1" x14ac:dyDescent="0.35">
      <c r="A110" s="8" t="s">
        <v>54</v>
      </c>
      <c r="B110" s="8" t="s">
        <v>66</v>
      </c>
      <c r="C110" s="8" t="s">
        <v>34</v>
      </c>
      <c r="D110" s="8" t="s">
        <v>15</v>
      </c>
      <c r="E110" s="16">
        <v>728.71</v>
      </c>
      <c r="F110" s="8">
        <v>14</v>
      </c>
      <c r="G110" s="9">
        <v>0.1</v>
      </c>
      <c r="H110" s="8">
        <v>327.92</v>
      </c>
      <c r="I110" s="10">
        <v>45581</v>
      </c>
      <c r="J110" s="8">
        <v>327.92</v>
      </c>
      <c r="L110" s="36">
        <f t="shared" ca="1" si="1"/>
        <v>46310.478143171298</v>
      </c>
    </row>
    <row r="111" spans="1:12" ht="15" thickBot="1" x14ac:dyDescent="0.35">
      <c r="A111" s="8" t="s">
        <v>9</v>
      </c>
      <c r="B111" s="8" t="s">
        <v>33</v>
      </c>
      <c r="C111" s="8" t="s">
        <v>34</v>
      </c>
      <c r="D111" s="8" t="s">
        <v>15</v>
      </c>
      <c r="E111" s="16">
        <v>1301.8900000000001</v>
      </c>
      <c r="F111" s="8">
        <v>7</v>
      </c>
      <c r="G111" s="9">
        <v>0.15</v>
      </c>
      <c r="H111" s="8">
        <v>553.29999999999995</v>
      </c>
      <c r="I111" s="10">
        <v>45581</v>
      </c>
      <c r="J111" s="8">
        <v>553.29999999999995</v>
      </c>
      <c r="L111" s="36">
        <f t="shared" ca="1" si="1"/>
        <v>46310.478143171298</v>
      </c>
    </row>
    <row r="112" spans="1:12" ht="15" thickBot="1" x14ac:dyDescent="0.35">
      <c r="A112" s="8" t="s">
        <v>70</v>
      </c>
      <c r="B112" s="8" t="s">
        <v>66</v>
      </c>
      <c r="C112" s="8" t="s">
        <v>18</v>
      </c>
      <c r="D112" s="8" t="s">
        <v>12</v>
      </c>
      <c r="E112" s="16">
        <v>980.18</v>
      </c>
      <c r="F112" s="8">
        <v>16</v>
      </c>
      <c r="G112" s="9">
        <v>0.1</v>
      </c>
      <c r="H112" s="8">
        <v>352.86</v>
      </c>
      <c r="I112" s="10">
        <v>45582</v>
      </c>
      <c r="J112" s="8">
        <v>352.86</v>
      </c>
      <c r="L112" s="36">
        <f t="shared" ca="1" si="1"/>
        <v>46310.478143171298</v>
      </c>
    </row>
    <row r="113" spans="1:12" ht="15" thickBot="1" x14ac:dyDescent="0.35">
      <c r="A113" s="8" t="s">
        <v>74</v>
      </c>
      <c r="B113" s="8" t="s">
        <v>23</v>
      </c>
      <c r="C113" s="8" t="s">
        <v>11</v>
      </c>
      <c r="D113" s="8" t="s">
        <v>15</v>
      </c>
      <c r="E113" s="16">
        <v>697.57</v>
      </c>
      <c r="F113" s="8">
        <v>17</v>
      </c>
      <c r="G113" s="9">
        <v>0.1</v>
      </c>
      <c r="H113" s="8">
        <v>313.91000000000003</v>
      </c>
      <c r="I113" s="10">
        <v>45584</v>
      </c>
      <c r="J113" s="8">
        <v>313.91000000000003</v>
      </c>
      <c r="L113" s="36">
        <f t="shared" ca="1" si="1"/>
        <v>46310.478143171298</v>
      </c>
    </row>
    <row r="114" spans="1:12" ht="15" thickBot="1" x14ac:dyDescent="0.35">
      <c r="A114" s="8" t="s">
        <v>46</v>
      </c>
      <c r="B114" s="8" t="s">
        <v>71</v>
      </c>
      <c r="C114" s="8" t="s">
        <v>11</v>
      </c>
      <c r="D114" s="8" t="s">
        <v>27</v>
      </c>
      <c r="E114" s="16">
        <v>1193.6099999999999</v>
      </c>
      <c r="F114" s="8">
        <v>1</v>
      </c>
      <c r="G114" s="9">
        <v>0.15</v>
      </c>
      <c r="H114" s="8">
        <v>355.1</v>
      </c>
      <c r="I114" s="10">
        <v>45584</v>
      </c>
      <c r="J114" s="8">
        <v>355.1</v>
      </c>
      <c r="L114" s="36">
        <f t="shared" ca="1" si="1"/>
        <v>46310.478143171298</v>
      </c>
    </row>
    <row r="115" spans="1:12" ht="15" thickBot="1" x14ac:dyDescent="0.35">
      <c r="A115" s="8" t="s">
        <v>32</v>
      </c>
      <c r="B115" s="8" t="s">
        <v>38</v>
      </c>
      <c r="C115" s="8" t="s">
        <v>20</v>
      </c>
      <c r="D115" s="8" t="s">
        <v>21</v>
      </c>
      <c r="E115" s="16">
        <v>771.02</v>
      </c>
      <c r="F115" s="8">
        <v>1</v>
      </c>
      <c r="G115" s="9">
        <v>0</v>
      </c>
      <c r="H115" s="8">
        <v>192.76</v>
      </c>
      <c r="I115" s="10">
        <v>45585</v>
      </c>
      <c r="J115" s="8">
        <v>192.76</v>
      </c>
      <c r="L115" s="36">
        <f t="shared" ca="1" si="1"/>
        <v>46310.478143171298</v>
      </c>
    </row>
    <row r="116" spans="1:12" ht="15" thickBot="1" x14ac:dyDescent="0.35">
      <c r="A116" s="8" t="s">
        <v>67</v>
      </c>
      <c r="B116" s="8" t="s">
        <v>69</v>
      </c>
      <c r="C116" s="8" t="s">
        <v>24</v>
      </c>
      <c r="D116" s="8" t="s">
        <v>15</v>
      </c>
      <c r="E116" s="16">
        <v>661.09</v>
      </c>
      <c r="F116" s="8">
        <v>1</v>
      </c>
      <c r="G116" s="9">
        <v>0.2</v>
      </c>
      <c r="H116" s="8">
        <v>264.44</v>
      </c>
      <c r="I116" s="10">
        <v>45593</v>
      </c>
      <c r="J116" s="8">
        <v>264.44</v>
      </c>
      <c r="L116" s="36">
        <f t="shared" ca="1" si="1"/>
        <v>46310.478143171298</v>
      </c>
    </row>
    <row r="117" spans="1:12" ht="15" thickBot="1" x14ac:dyDescent="0.35">
      <c r="A117" s="8" t="s">
        <v>13</v>
      </c>
      <c r="B117" s="8" t="s">
        <v>55</v>
      </c>
      <c r="C117" s="8" t="s">
        <v>11</v>
      </c>
      <c r="D117" s="8" t="s">
        <v>21</v>
      </c>
      <c r="E117" s="16">
        <v>688.83</v>
      </c>
      <c r="F117" s="8">
        <v>15</v>
      </c>
      <c r="G117" s="9">
        <v>0</v>
      </c>
      <c r="H117" s="8">
        <v>172.21</v>
      </c>
      <c r="I117" s="10">
        <v>45595</v>
      </c>
      <c r="J117" s="8">
        <v>172.21</v>
      </c>
      <c r="L117" s="36">
        <f t="shared" ca="1" si="1"/>
        <v>46310.478143171298</v>
      </c>
    </row>
    <row r="118" spans="1:12" ht="15" thickBot="1" x14ac:dyDescent="0.35">
      <c r="A118" s="8" t="s">
        <v>73</v>
      </c>
      <c r="B118" s="8" t="s">
        <v>29</v>
      </c>
      <c r="C118" s="8" t="s">
        <v>34</v>
      </c>
      <c r="D118" s="8" t="s">
        <v>12</v>
      </c>
      <c r="E118" s="16">
        <v>1249.0999999999999</v>
      </c>
      <c r="F118" s="8">
        <v>4</v>
      </c>
      <c r="G118" s="9">
        <v>0.05</v>
      </c>
      <c r="H118" s="8">
        <v>474.66</v>
      </c>
      <c r="I118" s="10">
        <v>45597</v>
      </c>
      <c r="J118" s="8">
        <v>474.66</v>
      </c>
      <c r="L118" s="36">
        <f t="shared" ca="1" si="1"/>
        <v>46310.478143171298</v>
      </c>
    </row>
    <row r="119" spans="1:12" ht="15" thickBot="1" x14ac:dyDescent="0.35">
      <c r="A119" s="8" t="s">
        <v>44</v>
      </c>
      <c r="B119" s="8" t="s">
        <v>23</v>
      </c>
      <c r="C119" s="8" t="s">
        <v>18</v>
      </c>
      <c r="D119" s="8" t="s">
        <v>39</v>
      </c>
      <c r="E119" s="16">
        <v>1014.22</v>
      </c>
      <c r="F119" s="8">
        <v>14</v>
      </c>
      <c r="G119" s="9">
        <v>0.05</v>
      </c>
      <c r="H119" s="8">
        <v>433.58</v>
      </c>
      <c r="I119" s="10">
        <v>45599</v>
      </c>
      <c r="J119" s="8">
        <v>433.58</v>
      </c>
      <c r="L119" s="36">
        <f t="shared" ca="1" si="1"/>
        <v>46310.478143171298</v>
      </c>
    </row>
    <row r="120" spans="1:12" ht="15" thickBot="1" x14ac:dyDescent="0.35">
      <c r="A120" s="8" t="s">
        <v>54</v>
      </c>
      <c r="B120" s="8" t="s">
        <v>48</v>
      </c>
      <c r="C120" s="8" t="s">
        <v>18</v>
      </c>
      <c r="D120" s="8" t="s">
        <v>12</v>
      </c>
      <c r="E120" s="16">
        <v>1010.58</v>
      </c>
      <c r="F120" s="8">
        <v>2</v>
      </c>
      <c r="G120" s="9">
        <v>0.15</v>
      </c>
      <c r="H120" s="8">
        <v>343.6</v>
      </c>
      <c r="I120" s="10">
        <v>45605</v>
      </c>
      <c r="J120" s="8">
        <v>343.6</v>
      </c>
      <c r="L120" s="36">
        <f t="shared" ca="1" si="1"/>
        <v>46310.478143171298</v>
      </c>
    </row>
    <row r="121" spans="1:12" ht="15" thickBot="1" x14ac:dyDescent="0.35">
      <c r="A121" s="8" t="s">
        <v>30</v>
      </c>
      <c r="B121" s="8" t="s">
        <v>59</v>
      </c>
      <c r="C121" s="8" t="s">
        <v>24</v>
      </c>
      <c r="D121" s="8" t="s">
        <v>27</v>
      </c>
      <c r="E121" s="16">
        <v>957.29</v>
      </c>
      <c r="F121" s="8">
        <v>4</v>
      </c>
      <c r="G121" s="9">
        <v>0.05</v>
      </c>
      <c r="H121" s="8">
        <v>318.3</v>
      </c>
      <c r="I121" s="10">
        <v>45605</v>
      </c>
      <c r="J121" s="8">
        <v>318.3</v>
      </c>
      <c r="L121" s="36">
        <f t="shared" ca="1" si="1"/>
        <v>46310.478143171298</v>
      </c>
    </row>
    <row r="122" spans="1:12" ht="15" thickBot="1" x14ac:dyDescent="0.35">
      <c r="A122" s="8" t="s">
        <v>28</v>
      </c>
      <c r="B122" s="8" t="s">
        <v>45</v>
      </c>
      <c r="C122" s="8" t="s">
        <v>24</v>
      </c>
      <c r="D122" s="8" t="s">
        <v>27</v>
      </c>
      <c r="E122" s="16">
        <v>1077.92</v>
      </c>
      <c r="F122" s="8">
        <v>3</v>
      </c>
      <c r="G122" s="9">
        <v>0.05</v>
      </c>
      <c r="H122" s="8">
        <v>358.41</v>
      </c>
      <c r="I122" s="10">
        <v>45608</v>
      </c>
      <c r="J122" s="8">
        <v>358.41</v>
      </c>
      <c r="L122" s="36">
        <f t="shared" ca="1" si="1"/>
        <v>46310.478143171298</v>
      </c>
    </row>
    <row r="123" spans="1:12" ht="15" thickBot="1" x14ac:dyDescent="0.35">
      <c r="A123" s="8" t="s">
        <v>52</v>
      </c>
      <c r="B123" s="8" t="s">
        <v>50</v>
      </c>
      <c r="C123" s="8" t="s">
        <v>20</v>
      </c>
      <c r="D123" s="8" t="s">
        <v>15</v>
      </c>
      <c r="E123" s="16">
        <v>1163.01</v>
      </c>
      <c r="F123" s="8">
        <v>5</v>
      </c>
      <c r="G123" s="9">
        <v>0</v>
      </c>
      <c r="H123" s="8">
        <v>581.5</v>
      </c>
      <c r="I123" s="10">
        <v>45611</v>
      </c>
      <c r="J123" s="8">
        <v>581.5</v>
      </c>
      <c r="L123" s="36">
        <f t="shared" ca="1" si="1"/>
        <v>46310.478143171298</v>
      </c>
    </row>
    <row r="124" spans="1:12" ht="15" thickBot="1" x14ac:dyDescent="0.35">
      <c r="A124" s="8" t="s">
        <v>54</v>
      </c>
      <c r="B124" s="8" t="s">
        <v>45</v>
      </c>
      <c r="C124" s="8" t="s">
        <v>18</v>
      </c>
      <c r="D124" s="8" t="s">
        <v>39</v>
      </c>
      <c r="E124" s="16">
        <v>1014.56</v>
      </c>
      <c r="F124" s="8">
        <v>10</v>
      </c>
      <c r="G124" s="9">
        <v>0.1</v>
      </c>
      <c r="H124" s="8">
        <v>410.9</v>
      </c>
      <c r="I124" s="10">
        <v>45612</v>
      </c>
      <c r="J124" s="8">
        <v>410.9</v>
      </c>
      <c r="L124" s="36">
        <f t="shared" ca="1" si="1"/>
        <v>46310.478143171298</v>
      </c>
    </row>
    <row r="125" spans="1:12" ht="15" thickBot="1" x14ac:dyDescent="0.35">
      <c r="A125" s="8" t="s">
        <v>9</v>
      </c>
      <c r="B125" s="8" t="s">
        <v>17</v>
      </c>
      <c r="C125" s="8" t="s">
        <v>20</v>
      </c>
      <c r="D125" s="8" t="s">
        <v>21</v>
      </c>
      <c r="E125" s="16">
        <v>718.04</v>
      </c>
      <c r="F125" s="8">
        <v>14</v>
      </c>
      <c r="G125" s="9">
        <v>0</v>
      </c>
      <c r="H125" s="8">
        <v>179.51</v>
      </c>
      <c r="I125" s="10">
        <v>45613</v>
      </c>
      <c r="J125" s="8">
        <v>179.51</v>
      </c>
      <c r="L125" s="36">
        <f t="shared" ca="1" si="1"/>
        <v>46310.478143171298</v>
      </c>
    </row>
    <row r="126" spans="1:12" ht="15" thickBot="1" x14ac:dyDescent="0.35">
      <c r="A126" s="8" t="s">
        <v>72</v>
      </c>
      <c r="B126" s="8" t="s">
        <v>17</v>
      </c>
      <c r="C126" s="8" t="s">
        <v>34</v>
      </c>
      <c r="D126" s="8" t="s">
        <v>15</v>
      </c>
      <c r="E126" s="16">
        <v>1277.8499999999999</v>
      </c>
      <c r="F126" s="8">
        <v>18</v>
      </c>
      <c r="G126" s="9">
        <v>0.2</v>
      </c>
      <c r="H126" s="8">
        <v>511.14</v>
      </c>
      <c r="I126" s="10">
        <v>45613</v>
      </c>
      <c r="J126" s="8">
        <v>511.14</v>
      </c>
      <c r="L126" s="36">
        <f t="shared" ca="1" si="1"/>
        <v>46310.478143171298</v>
      </c>
    </row>
    <row r="127" spans="1:12" ht="15" thickBot="1" x14ac:dyDescent="0.35">
      <c r="A127" s="8" t="s">
        <v>70</v>
      </c>
      <c r="B127" s="8" t="s">
        <v>23</v>
      </c>
      <c r="C127" s="8" t="s">
        <v>24</v>
      </c>
      <c r="D127" s="8" t="s">
        <v>21</v>
      </c>
      <c r="E127" s="16">
        <v>706.73</v>
      </c>
      <c r="F127" s="8">
        <v>1</v>
      </c>
      <c r="G127" s="9">
        <v>0.15</v>
      </c>
      <c r="H127" s="8">
        <v>150.18</v>
      </c>
      <c r="I127" s="10">
        <v>45613</v>
      </c>
      <c r="J127" s="8">
        <v>150.18</v>
      </c>
      <c r="L127" s="36">
        <f t="shared" ca="1" si="1"/>
        <v>46310.478143171298</v>
      </c>
    </row>
    <row r="128" spans="1:12" ht="15" thickBot="1" x14ac:dyDescent="0.35">
      <c r="A128" s="8" t="s">
        <v>65</v>
      </c>
      <c r="B128" s="8" t="s">
        <v>50</v>
      </c>
      <c r="C128" s="8" t="s">
        <v>18</v>
      </c>
      <c r="D128" s="8" t="s">
        <v>21</v>
      </c>
      <c r="E128" s="16">
        <v>1410.59</v>
      </c>
      <c r="F128" s="8">
        <v>15</v>
      </c>
      <c r="G128" s="9">
        <v>0</v>
      </c>
      <c r="H128" s="8">
        <v>352.65</v>
      </c>
      <c r="I128" s="10">
        <v>45615</v>
      </c>
      <c r="J128" s="8">
        <v>352.65</v>
      </c>
      <c r="L128" s="36">
        <f t="shared" ca="1" si="1"/>
        <v>46310.478143171298</v>
      </c>
    </row>
    <row r="129" spans="1:12" ht="15" thickBot="1" x14ac:dyDescent="0.35">
      <c r="A129" s="8" t="s">
        <v>32</v>
      </c>
      <c r="B129" s="8" t="s">
        <v>61</v>
      </c>
      <c r="C129" s="8" t="s">
        <v>20</v>
      </c>
      <c r="D129" s="8" t="s">
        <v>27</v>
      </c>
      <c r="E129" s="16">
        <v>1350.33</v>
      </c>
      <c r="F129" s="8">
        <v>10</v>
      </c>
      <c r="G129" s="9">
        <v>0</v>
      </c>
      <c r="H129" s="8">
        <v>472.62</v>
      </c>
      <c r="I129" s="10">
        <v>45615</v>
      </c>
      <c r="J129" s="8">
        <v>472.62</v>
      </c>
      <c r="L129" s="36">
        <f t="shared" ca="1" si="1"/>
        <v>46310.478143171298</v>
      </c>
    </row>
    <row r="130" spans="1:12" ht="15" thickBot="1" x14ac:dyDescent="0.35">
      <c r="A130" s="8" t="s">
        <v>41</v>
      </c>
      <c r="B130" s="8" t="s">
        <v>45</v>
      </c>
      <c r="C130" s="8" t="s">
        <v>18</v>
      </c>
      <c r="D130" s="8" t="s">
        <v>21</v>
      </c>
      <c r="E130" s="16">
        <v>919.18</v>
      </c>
      <c r="F130" s="8">
        <v>4</v>
      </c>
      <c r="G130" s="9">
        <v>0.15</v>
      </c>
      <c r="H130" s="8">
        <v>195.33</v>
      </c>
      <c r="I130" s="10">
        <v>45615</v>
      </c>
      <c r="J130" s="8">
        <v>195.33</v>
      </c>
      <c r="L130" s="36">
        <f t="shared" ca="1" si="1"/>
        <v>46310.478143171298</v>
      </c>
    </row>
    <row r="131" spans="1:12" ht="15" thickBot="1" x14ac:dyDescent="0.35">
      <c r="A131" s="8" t="s">
        <v>74</v>
      </c>
      <c r="B131" s="8" t="s">
        <v>23</v>
      </c>
      <c r="C131" s="8" t="s">
        <v>11</v>
      </c>
      <c r="D131" s="8" t="s">
        <v>21</v>
      </c>
      <c r="E131" s="16">
        <v>258.51</v>
      </c>
      <c r="F131" s="8">
        <v>19</v>
      </c>
      <c r="G131" s="9">
        <v>0</v>
      </c>
      <c r="H131" s="8">
        <v>64.63</v>
      </c>
      <c r="I131" s="10">
        <v>45616</v>
      </c>
      <c r="J131" s="8">
        <v>64.63</v>
      </c>
      <c r="L131" s="36">
        <f t="shared" ref="L131:L194" ca="1" si="2">NOW()</f>
        <v>46310.478143171298</v>
      </c>
    </row>
    <row r="132" spans="1:12" ht="15" thickBot="1" x14ac:dyDescent="0.35">
      <c r="A132" s="8" t="s">
        <v>63</v>
      </c>
      <c r="B132" s="8" t="s">
        <v>61</v>
      </c>
      <c r="C132" s="8" t="s">
        <v>18</v>
      </c>
      <c r="D132" s="8" t="s">
        <v>12</v>
      </c>
      <c r="E132" s="16">
        <v>1213.48</v>
      </c>
      <c r="F132" s="8">
        <v>5</v>
      </c>
      <c r="G132" s="9">
        <v>0.05</v>
      </c>
      <c r="H132" s="8">
        <v>461.12</v>
      </c>
      <c r="I132" s="10">
        <v>45616</v>
      </c>
      <c r="J132" s="8">
        <v>461.12</v>
      </c>
      <c r="L132" s="36">
        <f t="shared" ca="1" si="2"/>
        <v>46310.478143171298</v>
      </c>
    </row>
    <row r="133" spans="1:12" ht="15" thickBot="1" x14ac:dyDescent="0.35">
      <c r="A133" s="8" t="s">
        <v>57</v>
      </c>
      <c r="B133" s="8" t="s">
        <v>38</v>
      </c>
      <c r="C133" s="8" t="s">
        <v>34</v>
      </c>
      <c r="D133" s="8" t="s">
        <v>12</v>
      </c>
      <c r="E133" s="16">
        <v>1150.28</v>
      </c>
      <c r="F133" s="8">
        <v>8</v>
      </c>
      <c r="G133" s="9">
        <v>0.05</v>
      </c>
      <c r="H133" s="8">
        <v>437.11</v>
      </c>
      <c r="I133" s="10">
        <v>45622</v>
      </c>
      <c r="J133" s="8">
        <v>437.11</v>
      </c>
      <c r="L133" s="36">
        <f t="shared" ca="1" si="2"/>
        <v>46310.478143171298</v>
      </c>
    </row>
    <row r="134" spans="1:12" ht="15" thickBot="1" x14ac:dyDescent="0.35">
      <c r="A134" s="8" t="s">
        <v>37</v>
      </c>
      <c r="B134" s="8" t="s">
        <v>71</v>
      </c>
      <c r="C134" s="8" t="s">
        <v>20</v>
      </c>
      <c r="D134" s="8" t="s">
        <v>27</v>
      </c>
      <c r="E134" s="16">
        <v>853.86</v>
      </c>
      <c r="F134" s="8">
        <v>8</v>
      </c>
      <c r="G134" s="9">
        <v>0.1</v>
      </c>
      <c r="H134" s="8">
        <v>268.97000000000003</v>
      </c>
      <c r="I134" s="10">
        <v>45622</v>
      </c>
      <c r="J134" s="8">
        <v>268.97000000000003</v>
      </c>
      <c r="L134" s="36">
        <f t="shared" ca="1" si="2"/>
        <v>46310.478143171298</v>
      </c>
    </row>
    <row r="135" spans="1:12" ht="15" thickBot="1" x14ac:dyDescent="0.35">
      <c r="A135" s="8" t="s">
        <v>75</v>
      </c>
      <c r="B135" s="8" t="s">
        <v>45</v>
      </c>
      <c r="C135" s="8" t="s">
        <v>20</v>
      </c>
      <c r="D135" s="8" t="s">
        <v>21</v>
      </c>
      <c r="E135" s="16">
        <v>1061.04</v>
      </c>
      <c r="F135" s="8">
        <v>1</v>
      </c>
      <c r="G135" s="9">
        <v>0</v>
      </c>
      <c r="H135" s="8">
        <v>265.26</v>
      </c>
      <c r="I135" s="10">
        <v>45624</v>
      </c>
      <c r="J135" s="8">
        <v>265.26</v>
      </c>
      <c r="L135" s="36">
        <f t="shared" ca="1" si="2"/>
        <v>46310.478143171298</v>
      </c>
    </row>
    <row r="136" spans="1:12" ht="15" thickBot="1" x14ac:dyDescent="0.35">
      <c r="A136" s="8" t="s">
        <v>28</v>
      </c>
      <c r="B136" s="8" t="s">
        <v>43</v>
      </c>
      <c r="C136" s="8" t="s">
        <v>11</v>
      </c>
      <c r="D136" s="8" t="s">
        <v>21</v>
      </c>
      <c r="E136" s="16">
        <v>894.55</v>
      </c>
      <c r="F136" s="8">
        <v>19</v>
      </c>
      <c r="G136" s="9">
        <v>0.2</v>
      </c>
      <c r="H136" s="8">
        <v>178.91</v>
      </c>
      <c r="I136" s="10">
        <v>45625</v>
      </c>
      <c r="J136" s="8">
        <v>178.91</v>
      </c>
      <c r="L136" s="36">
        <f t="shared" ca="1" si="2"/>
        <v>46310.478143171298</v>
      </c>
    </row>
    <row r="137" spans="1:12" ht="15" thickBot="1" x14ac:dyDescent="0.35">
      <c r="A137" s="8" t="s">
        <v>25</v>
      </c>
      <c r="B137" s="8" t="s">
        <v>38</v>
      </c>
      <c r="C137" s="8" t="s">
        <v>24</v>
      </c>
      <c r="D137" s="8" t="s">
        <v>39</v>
      </c>
      <c r="E137" s="16">
        <v>833.91</v>
      </c>
      <c r="F137" s="8">
        <v>3</v>
      </c>
      <c r="G137" s="9">
        <v>0.05</v>
      </c>
      <c r="H137" s="8">
        <v>356.5</v>
      </c>
      <c r="I137" s="10">
        <v>45626</v>
      </c>
      <c r="J137" s="8">
        <v>356.5</v>
      </c>
      <c r="L137" s="36">
        <f t="shared" ca="1" si="2"/>
        <v>46310.478143171298</v>
      </c>
    </row>
    <row r="138" spans="1:12" ht="15" thickBot="1" x14ac:dyDescent="0.35">
      <c r="A138" s="8" t="s">
        <v>58</v>
      </c>
      <c r="B138" s="8" t="s">
        <v>71</v>
      </c>
      <c r="C138" s="8" t="s">
        <v>11</v>
      </c>
      <c r="D138" s="8" t="s">
        <v>27</v>
      </c>
      <c r="E138" s="16">
        <v>820.19</v>
      </c>
      <c r="F138" s="8">
        <v>4</v>
      </c>
      <c r="G138" s="9">
        <v>0.2</v>
      </c>
      <c r="H138" s="8">
        <v>229.65</v>
      </c>
      <c r="I138" s="10">
        <v>45630</v>
      </c>
      <c r="J138" s="8">
        <v>229.65</v>
      </c>
      <c r="L138" s="36">
        <f t="shared" ca="1" si="2"/>
        <v>46310.478143171298</v>
      </c>
    </row>
    <row r="139" spans="1:12" ht="15" thickBot="1" x14ac:dyDescent="0.35">
      <c r="A139" s="8" t="s">
        <v>58</v>
      </c>
      <c r="B139" s="8" t="s">
        <v>38</v>
      </c>
      <c r="C139" s="8" t="s">
        <v>34</v>
      </c>
      <c r="D139" s="8" t="s">
        <v>21</v>
      </c>
      <c r="E139" s="16">
        <v>511.74</v>
      </c>
      <c r="F139" s="8">
        <v>8</v>
      </c>
      <c r="G139" s="9">
        <v>0.05</v>
      </c>
      <c r="H139" s="8">
        <v>121.54</v>
      </c>
      <c r="I139" s="10">
        <v>45631</v>
      </c>
      <c r="J139" s="8">
        <v>121.54</v>
      </c>
      <c r="L139" s="36">
        <f t="shared" ca="1" si="2"/>
        <v>46310.478143171298</v>
      </c>
    </row>
    <row r="140" spans="1:12" ht="15" thickBot="1" x14ac:dyDescent="0.35">
      <c r="A140" s="8" t="s">
        <v>65</v>
      </c>
      <c r="B140" s="8" t="s">
        <v>61</v>
      </c>
      <c r="C140" s="8" t="s">
        <v>20</v>
      </c>
      <c r="D140" s="8" t="s">
        <v>27</v>
      </c>
      <c r="E140" s="16">
        <v>806.03</v>
      </c>
      <c r="F140" s="8">
        <v>19</v>
      </c>
      <c r="G140" s="9">
        <v>0.05</v>
      </c>
      <c r="H140" s="8">
        <v>268</v>
      </c>
      <c r="I140" s="10">
        <v>45638</v>
      </c>
      <c r="J140" s="8">
        <v>268</v>
      </c>
      <c r="L140" s="36">
        <f t="shared" ca="1" si="2"/>
        <v>46310.478143171298</v>
      </c>
    </row>
    <row r="141" spans="1:12" ht="15" thickBot="1" x14ac:dyDescent="0.35">
      <c r="A141" s="8" t="s">
        <v>28</v>
      </c>
      <c r="B141" s="8" t="s">
        <v>26</v>
      </c>
      <c r="C141" s="8" t="s">
        <v>34</v>
      </c>
      <c r="D141" s="8" t="s">
        <v>27</v>
      </c>
      <c r="E141" s="16">
        <v>1432.47</v>
      </c>
      <c r="F141" s="8">
        <v>16</v>
      </c>
      <c r="G141" s="9">
        <v>0.15</v>
      </c>
      <c r="H141" s="8">
        <v>426.16</v>
      </c>
      <c r="I141" s="10">
        <v>45640</v>
      </c>
      <c r="J141" s="8">
        <v>426.16</v>
      </c>
      <c r="L141" s="36">
        <f t="shared" ca="1" si="2"/>
        <v>46310.478143171298</v>
      </c>
    </row>
    <row r="142" spans="1:12" ht="15" thickBot="1" x14ac:dyDescent="0.35">
      <c r="A142" s="8" t="s">
        <v>74</v>
      </c>
      <c r="B142" s="8" t="s">
        <v>29</v>
      </c>
      <c r="C142" s="8" t="s">
        <v>34</v>
      </c>
      <c r="D142" s="8" t="s">
        <v>21</v>
      </c>
      <c r="E142" s="16">
        <v>1488.58</v>
      </c>
      <c r="F142" s="8">
        <v>10</v>
      </c>
      <c r="G142" s="9">
        <v>0.15</v>
      </c>
      <c r="H142" s="8">
        <v>316.32</v>
      </c>
      <c r="I142" s="10">
        <v>45640</v>
      </c>
      <c r="J142" s="8">
        <v>316.32</v>
      </c>
      <c r="L142" s="36">
        <f t="shared" ca="1" si="2"/>
        <v>46310.478143171298</v>
      </c>
    </row>
    <row r="143" spans="1:12" ht="15" thickBot="1" x14ac:dyDescent="0.35">
      <c r="A143" s="8" t="s">
        <v>30</v>
      </c>
      <c r="B143" s="8" t="s">
        <v>66</v>
      </c>
      <c r="C143" s="8" t="s">
        <v>18</v>
      </c>
      <c r="D143" s="8" t="s">
        <v>12</v>
      </c>
      <c r="E143" s="16">
        <v>1231.26</v>
      </c>
      <c r="F143" s="8">
        <v>9</v>
      </c>
      <c r="G143" s="9">
        <v>0</v>
      </c>
      <c r="H143" s="8">
        <v>492.5</v>
      </c>
      <c r="I143" s="10">
        <v>45646</v>
      </c>
      <c r="J143" s="8">
        <v>492.5</v>
      </c>
      <c r="L143" s="36">
        <f t="shared" ca="1" si="2"/>
        <v>46310.478143171298</v>
      </c>
    </row>
    <row r="144" spans="1:12" ht="15" thickBot="1" x14ac:dyDescent="0.35">
      <c r="A144" s="8" t="s">
        <v>30</v>
      </c>
      <c r="B144" s="8" t="s">
        <v>43</v>
      </c>
      <c r="C144" s="8" t="s">
        <v>11</v>
      </c>
      <c r="D144" s="8" t="s">
        <v>21</v>
      </c>
      <c r="E144" s="16">
        <v>1161.67</v>
      </c>
      <c r="F144" s="8">
        <v>19</v>
      </c>
      <c r="G144" s="9">
        <v>0.2</v>
      </c>
      <c r="H144" s="8">
        <v>232.33</v>
      </c>
      <c r="I144" s="10">
        <v>45647</v>
      </c>
      <c r="J144" s="8">
        <v>232.33</v>
      </c>
      <c r="L144" s="36">
        <f t="shared" ca="1" si="2"/>
        <v>46310.478143171298</v>
      </c>
    </row>
    <row r="145" spans="1:12" ht="15" thickBot="1" x14ac:dyDescent="0.35">
      <c r="A145" s="8" t="s">
        <v>49</v>
      </c>
      <c r="B145" s="8" t="s">
        <v>45</v>
      </c>
      <c r="C145" s="8" t="s">
        <v>34</v>
      </c>
      <c r="D145" s="8" t="s">
        <v>39</v>
      </c>
      <c r="E145" s="16">
        <v>388.23</v>
      </c>
      <c r="F145" s="8">
        <v>16</v>
      </c>
      <c r="G145" s="9">
        <v>0.05</v>
      </c>
      <c r="H145" s="8">
        <v>165.97</v>
      </c>
      <c r="I145" s="10">
        <v>45650</v>
      </c>
      <c r="J145" s="8">
        <v>165.97</v>
      </c>
      <c r="L145" s="36">
        <f t="shared" ca="1" si="2"/>
        <v>46310.478143171298</v>
      </c>
    </row>
    <row r="146" spans="1:12" ht="15" thickBot="1" x14ac:dyDescent="0.35">
      <c r="A146" s="8" t="s">
        <v>72</v>
      </c>
      <c r="B146" s="8" t="s">
        <v>31</v>
      </c>
      <c r="C146" s="8" t="s">
        <v>24</v>
      </c>
      <c r="D146" s="8" t="s">
        <v>15</v>
      </c>
      <c r="E146" s="16">
        <v>1589.42</v>
      </c>
      <c r="F146" s="8">
        <v>6</v>
      </c>
      <c r="G146" s="9">
        <v>0.15</v>
      </c>
      <c r="H146" s="8">
        <v>675.5</v>
      </c>
      <c r="I146" s="10">
        <v>45651</v>
      </c>
      <c r="J146" s="8">
        <v>675.5</v>
      </c>
      <c r="L146" s="36">
        <f t="shared" ca="1" si="2"/>
        <v>46310.478143171298</v>
      </c>
    </row>
    <row r="147" spans="1:12" ht="15" thickBot="1" x14ac:dyDescent="0.35">
      <c r="A147" s="8" t="s">
        <v>28</v>
      </c>
      <c r="B147" s="8" t="s">
        <v>71</v>
      </c>
      <c r="C147" s="8" t="s">
        <v>24</v>
      </c>
      <c r="D147" s="8" t="s">
        <v>15</v>
      </c>
      <c r="E147" s="16">
        <v>336.66</v>
      </c>
      <c r="F147" s="8">
        <v>13</v>
      </c>
      <c r="G147" s="9">
        <v>0.2</v>
      </c>
      <c r="H147" s="8">
        <v>134.66</v>
      </c>
      <c r="I147" s="10">
        <v>45651</v>
      </c>
      <c r="J147" s="8">
        <v>134.66</v>
      </c>
      <c r="L147" s="36">
        <f t="shared" ca="1" si="2"/>
        <v>46310.478143171298</v>
      </c>
    </row>
    <row r="148" spans="1:12" ht="15" thickBot="1" x14ac:dyDescent="0.35">
      <c r="A148" s="8" t="s">
        <v>49</v>
      </c>
      <c r="B148" s="8" t="s">
        <v>23</v>
      </c>
      <c r="C148" s="8" t="s">
        <v>11</v>
      </c>
      <c r="D148" s="8" t="s">
        <v>12</v>
      </c>
      <c r="E148" s="16">
        <v>1353.79</v>
      </c>
      <c r="F148" s="8">
        <v>14</v>
      </c>
      <c r="G148" s="9">
        <v>0.1</v>
      </c>
      <c r="H148" s="8">
        <v>487.36</v>
      </c>
      <c r="I148" s="10">
        <v>45656</v>
      </c>
      <c r="J148" s="8">
        <v>487.36</v>
      </c>
      <c r="L148" s="36">
        <f t="shared" ca="1" si="2"/>
        <v>46310.478143171298</v>
      </c>
    </row>
    <row r="149" spans="1:12" ht="15" thickBot="1" x14ac:dyDescent="0.35">
      <c r="A149" s="8" t="s">
        <v>63</v>
      </c>
      <c r="B149" s="8" t="s">
        <v>69</v>
      </c>
      <c r="C149" s="8" t="s">
        <v>34</v>
      </c>
      <c r="D149" s="8" t="s">
        <v>15</v>
      </c>
      <c r="E149" s="16">
        <v>662.61</v>
      </c>
      <c r="F149" s="8">
        <v>11</v>
      </c>
      <c r="G149" s="9">
        <v>0.05</v>
      </c>
      <c r="H149" s="8">
        <v>314.74</v>
      </c>
      <c r="I149" s="10">
        <v>45658</v>
      </c>
      <c r="J149" s="8">
        <v>314.74</v>
      </c>
      <c r="L149" s="36">
        <f t="shared" ca="1" si="2"/>
        <v>46310.478143171298</v>
      </c>
    </row>
    <row r="150" spans="1:12" ht="15" thickBot="1" x14ac:dyDescent="0.35">
      <c r="A150" s="8" t="s">
        <v>52</v>
      </c>
      <c r="B150" s="8" t="s">
        <v>48</v>
      </c>
      <c r="C150" s="8" t="s">
        <v>24</v>
      </c>
      <c r="D150" s="8" t="s">
        <v>39</v>
      </c>
      <c r="E150" s="16">
        <v>309.42</v>
      </c>
      <c r="F150" s="8">
        <v>1</v>
      </c>
      <c r="G150" s="9">
        <v>0.2</v>
      </c>
      <c r="H150" s="8">
        <v>111.39</v>
      </c>
      <c r="I150" s="10">
        <v>45658</v>
      </c>
      <c r="J150" s="8">
        <v>111.39</v>
      </c>
      <c r="L150" s="36">
        <f t="shared" ca="1" si="2"/>
        <v>46310.478143171298</v>
      </c>
    </row>
    <row r="151" spans="1:12" ht="15" thickBot="1" x14ac:dyDescent="0.35">
      <c r="A151" s="8" t="s">
        <v>63</v>
      </c>
      <c r="B151" s="8" t="s">
        <v>29</v>
      </c>
      <c r="C151" s="8" t="s">
        <v>24</v>
      </c>
      <c r="D151" s="8" t="s">
        <v>12</v>
      </c>
      <c r="E151" s="16">
        <v>884.63</v>
      </c>
      <c r="F151" s="8">
        <v>18</v>
      </c>
      <c r="G151" s="9">
        <v>0.1</v>
      </c>
      <c r="H151" s="8">
        <v>318.47000000000003</v>
      </c>
      <c r="I151" s="10">
        <v>45659</v>
      </c>
      <c r="J151" s="8">
        <v>318.47000000000003</v>
      </c>
      <c r="L151" s="36">
        <f t="shared" ca="1" si="2"/>
        <v>46310.478143171298</v>
      </c>
    </row>
    <row r="152" spans="1:12" ht="15" thickBot="1" x14ac:dyDescent="0.35">
      <c r="A152" s="8" t="s">
        <v>52</v>
      </c>
      <c r="B152" s="8" t="s">
        <v>23</v>
      </c>
      <c r="C152" s="8" t="s">
        <v>34</v>
      </c>
      <c r="D152" s="8" t="s">
        <v>39</v>
      </c>
      <c r="E152" s="16">
        <v>745.05</v>
      </c>
      <c r="F152" s="8">
        <v>10</v>
      </c>
      <c r="G152" s="9">
        <v>0.1</v>
      </c>
      <c r="H152" s="8">
        <v>301.75</v>
      </c>
      <c r="I152" s="10">
        <v>45660</v>
      </c>
      <c r="J152" s="8">
        <v>301.75</v>
      </c>
      <c r="L152" s="36">
        <f t="shared" ca="1" si="2"/>
        <v>46310.478143171298</v>
      </c>
    </row>
    <row r="153" spans="1:12" ht="15" thickBot="1" x14ac:dyDescent="0.35">
      <c r="A153" s="8" t="s">
        <v>60</v>
      </c>
      <c r="B153" s="8" t="s">
        <v>17</v>
      </c>
      <c r="C153" s="8" t="s">
        <v>20</v>
      </c>
      <c r="D153" s="8" t="s">
        <v>15</v>
      </c>
      <c r="E153" s="16">
        <v>870.23</v>
      </c>
      <c r="F153" s="8">
        <v>5</v>
      </c>
      <c r="G153" s="9">
        <v>0.05</v>
      </c>
      <c r="H153" s="8">
        <v>413.36</v>
      </c>
      <c r="I153" s="10">
        <v>45660</v>
      </c>
      <c r="J153" s="8">
        <v>413.36</v>
      </c>
      <c r="L153" s="36">
        <f t="shared" ca="1" si="2"/>
        <v>46310.478143171298</v>
      </c>
    </row>
    <row r="154" spans="1:12" ht="15" thickBot="1" x14ac:dyDescent="0.35">
      <c r="A154" s="8" t="s">
        <v>35</v>
      </c>
      <c r="B154" s="8" t="s">
        <v>29</v>
      </c>
      <c r="C154" s="8" t="s">
        <v>11</v>
      </c>
      <c r="D154" s="8" t="s">
        <v>27</v>
      </c>
      <c r="E154" s="16">
        <v>862.19</v>
      </c>
      <c r="F154" s="8">
        <v>18</v>
      </c>
      <c r="G154" s="9">
        <v>0.05</v>
      </c>
      <c r="H154" s="8">
        <v>286.68</v>
      </c>
      <c r="I154" s="10">
        <v>45663</v>
      </c>
      <c r="J154" s="8">
        <v>286.68</v>
      </c>
      <c r="L154" s="36">
        <f t="shared" ca="1" si="2"/>
        <v>46310.478143171298</v>
      </c>
    </row>
    <row r="155" spans="1:12" ht="15" thickBot="1" x14ac:dyDescent="0.35">
      <c r="A155" s="8" t="s">
        <v>73</v>
      </c>
      <c r="B155" s="8" t="s">
        <v>59</v>
      </c>
      <c r="C155" s="8" t="s">
        <v>24</v>
      </c>
      <c r="D155" s="8" t="s">
        <v>15</v>
      </c>
      <c r="E155" s="16">
        <v>1171.18</v>
      </c>
      <c r="F155" s="8">
        <v>19</v>
      </c>
      <c r="G155" s="9">
        <v>0.05</v>
      </c>
      <c r="H155" s="8">
        <v>556.30999999999995</v>
      </c>
      <c r="I155" s="10">
        <v>45667</v>
      </c>
      <c r="J155" s="8">
        <v>556.30999999999995</v>
      </c>
      <c r="L155" s="36">
        <f t="shared" ca="1" si="2"/>
        <v>46310.478143171298</v>
      </c>
    </row>
    <row r="156" spans="1:12" ht="15" thickBot="1" x14ac:dyDescent="0.35">
      <c r="A156" s="8" t="s">
        <v>58</v>
      </c>
      <c r="B156" s="8" t="s">
        <v>14</v>
      </c>
      <c r="C156" s="8" t="s">
        <v>20</v>
      </c>
      <c r="D156" s="8" t="s">
        <v>27</v>
      </c>
      <c r="E156" s="16">
        <v>1054.56</v>
      </c>
      <c r="F156" s="8">
        <v>11</v>
      </c>
      <c r="G156" s="9">
        <v>0.1</v>
      </c>
      <c r="H156" s="8">
        <v>332.19</v>
      </c>
      <c r="I156" s="10">
        <v>45669</v>
      </c>
      <c r="J156" s="8">
        <v>332.19</v>
      </c>
      <c r="L156" s="36">
        <f t="shared" ca="1" si="2"/>
        <v>46310.478143171298</v>
      </c>
    </row>
    <row r="157" spans="1:12" ht="15" thickBot="1" x14ac:dyDescent="0.35">
      <c r="A157" s="8" t="s">
        <v>58</v>
      </c>
      <c r="B157" s="8" t="s">
        <v>23</v>
      </c>
      <c r="C157" s="8" t="s">
        <v>24</v>
      </c>
      <c r="D157" s="8" t="s">
        <v>21</v>
      </c>
      <c r="E157" s="16">
        <v>1681.21</v>
      </c>
      <c r="F157" s="8">
        <v>5</v>
      </c>
      <c r="G157" s="9">
        <v>0.2</v>
      </c>
      <c r="H157" s="8">
        <v>336.24</v>
      </c>
      <c r="I157" s="10">
        <v>45670</v>
      </c>
      <c r="J157" s="8">
        <v>336.24</v>
      </c>
      <c r="L157" s="36">
        <f t="shared" ca="1" si="2"/>
        <v>46310.478143171298</v>
      </c>
    </row>
    <row r="158" spans="1:12" ht="15" thickBot="1" x14ac:dyDescent="0.35">
      <c r="A158" s="8" t="s">
        <v>58</v>
      </c>
      <c r="B158" s="8" t="s">
        <v>36</v>
      </c>
      <c r="C158" s="8" t="s">
        <v>11</v>
      </c>
      <c r="D158" s="8" t="s">
        <v>15</v>
      </c>
      <c r="E158" s="16">
        <v>379.77</v>
      </c>
      <c r="F158" s="8">
        <v>9</v>
      </c>
      <c r="G158" s="9">
        <v>0.05</v>
      </c>
      <c r="H158" s="8">
        <v>180.39</v>
      </c>
      <c r="I158" s="10">
        <v>45673</v>
      </c>
      <c r="J158" s="8">
        <v>180.39</v>
      </c>
      <c r="L158" s="36">
        <f t="shared" ca="1" si="2"/>
        <v>46310.478143171298</v>
      </c>
    </row>
    <row r="159" spans="1:12" ht="15" thickBot="1" x14ac:dyDescent="0.35">
      <c r="A159" s="8" t="s">
        <v>44</v>
      </c>
      <c r="B159" s="8" t="s">
        <v>45</v>
      </c>
      <c r="C159" s="8" t="s">
        <v>34</v>
      </c>
      <c r="D159" s="8" t="s">
        <v>15</v>
      </c>
      <c r="E159" s="16">
        <v>1076.33</v>
      </c>
      <c r="F159" s="8">
        <v>2</v>
      </c>
      <c r="G159" s="9">
        <v>0.1</v>
      </c>
      <c r="H159" s="8">
        <v>484.35</v>
      </c>
      <c r="I159" s="10">
        <v>45674</v>
      </c>
      <c r="J159" s="8">
        <v>484.35</v>
      </c>
      <c r="L159" s="36">
        <f t="shared" ca="1" si="2"/>
        <v>46310.478143171298</v>
      </c>
    </row>
    <row r="160" spans="1:12" ht="15" thickBot="1" x14ac:dyDescent="0.35">
      <c r="A160" s="8" t="s">
        <v>44</v>
      </c>
      <c r="B160" s="8" t="s">
        <v>31</v>
      </c>
      <c r="C160" s="8" t="s">
        <v>34</v>
      </c>
      <c r="D160" s="8" t="s">
        <v>39</v>
      </c>
      <c r="E160" s="16">
        <v>1250.71</v>
      </c>
      <c r="F160" s="8">
        <v>7</v>
      </c>
      <c r="G160" s="9">
        <v>0</v>
      </c>
      <c r="H160" s="8">
        <v>562.82000000000005</v>
      </c>
      <c r="I160" s="10">
        <v>45674</v>
      </c>
      <c r="J160" s="8">
        <v>562.82000000000005</v>
      </c>
      <c r="L160" s="36">
        <f t="shared" ca="1" si="2"/>
        <v>46310.478143171298</v>
      </c>
    </row>
    <row r="161" spans="1:12" ht="15" thickBot="1" x14ac:dyDescent="0.35">
      <c r="A161" s="8" t="s">
        <v>40</v>
      </c>
      <c r="B161" s="8" t="s">
        <v>17</v>
      </c>
      <c r="C161" s="8" t="s">
        <v>20</v>
      </c>
      <c r="D161" s="8" t="s">
        <v>15</v>
      </c>
      <c r="E161" s="16">
        <v>1118.3399999999999</v>
      </c>
      <c r="F161" s="8">
        <v>6</v>
      </c>
      <c r="G161" s="9">
        <v>0.2</v>
      </c>
      <c r="H161" s="8">
        <v>447.34</v>
      </c>
      <c r="I161" s="10">
        <v>45674</v>
      </c>
      <c r="J161" s="8">
        <v>447.34</v>
      </c>
      <c r="L161" s="36">
        <f t="shared" ca="1" si="2"/>
        <v>46310.478143171298</v>
      </c>
    </row>
    <row r="162" spans="1:12" ht="15" thickBot="1" x14ac:dyDescent="0.35">
      <c r="A162" s="8" t="s">
        <v>70</v>
      </c>
      <c r="B162" s="8" t="s">
        <v>53</v>
      </c>
      <c r="C162" s="8" t="s">
        <v>24</v>
      </c>
      <c r="D162" s="8" t="s">
        <v>15</v>
      </c>
      <c r="E162" s="16">
        <v>1622.62</v>
      </c>
      <c r="F162" s="8">
        <v>12</v>
      </c>
      <c r="G162" s="9">
        <v>0.2</v>
      </c>
      <c r="H162" s="8">
        <v>649.04999999999995</v>
      </c>
      <c r="I162" s="10">
        <v>45677</v>
      </c>
      <c r="J162" s="8">
        <v>649.04999999999995</v>
      </c>
      <c r="L162" s="36">
        <f t="shared" ca="1" si="2"/>
        <v>46310.478143171298</v>
      </c>
    </row>
    <row r="163" spans="1:12" ht="15" thickBot="1" x14ac:dyDescent="0.35">
      <c r="A163" s="8" t="s">
        <v>75</v>
      </c>
      <c r="B163" s="8" t="s">
        <v>48</v>
      </c>
      <c r="C163" s="8" t="s">
        <v>24</v>
      </c>
      <c r="D163" s="8" t="s">
        <v>12</v>
      </c>
      <c r="E163" s="16">
        <v>640.64</v>
      </c>
      <c r="F163" s="8">
        <v>11</v>
      </c>
      <c r="G163" s="9">
        <v>0.2</v>
      </c>
      <c r="H163" s="8">
        <v>205</v>
      </c>
      <c r="I163" s="10">
        <v>45678</v>
      </c>
      <c r="J163" s="8">
        <v>205</v>
      </c>
      <c r="L163" s="36">
        <f t="shared" ca="1" si="2"/>
        <v>46310.478143171298</v>
      </c>
    </row>
    <row r="164" spans="1:12" ht="15" thickBot="1" x14ac:dyDescent="0.35">
      <c r="A164" s="8" t="s">
        <v>22</v>
      </c>
      <c r="B164" s="8" t="s">
        <v>43</v>
      </c>
      <c r="C164" s="8" t="s">
        <v>11</v>
      </c>
      <c r="D164" s="8" t="s">
        <v>15</v>
      </c>
      <c r="E164" s="16">
        <v>585.16</v>
      </c>
      <c r="F164" s="8">
        <v>17</v>
      </c>
      <c r="G164" s="9">
        <v>0.1</v>
      </c>
      <c r="H164" s="8">
        <v>263.32</v>
      </c>
      <c r="I164" s="10">
        <v>45684</v>
      </c>
      <c r="J164" s="8">
        <v>263.32</v>
      </c>
      <c r="L164" s="36">
        <f t="shared" ca="1" si="2"/>
        <v>46310.478143171298</v>
      </c>
    </row>
    <row r="165" spans="1:12" ht="15" thickBot="1" x14ac:dyDescent="0.35">
      <c r="A165" s="8" t="s">
        <v>22</v>
      </c>
      <c r="B165" s="8" t="s">
        <v>31</v>
      </c>
      <c r="C165" s="8" t="s">
        <v>18</v>
      </c>
      <c r="D165" s="8" t="s">
        <v>15</v>
      </c>
      <c r="E165" s="16">
        <v>1109.98</v>
      </c>
      <c r="F165" s="8">
        <v>5</v>
      </c>
      <c r="G165" s="9">
        <v>0.2</v>
      </c>
      <c r="H165" s="8">
        <v>443.99</v>
      </c>
      <c r="I165" s="10">
        <v>45690</v>
      </c>
      <c r="J165" s="8">
        <v>443.99</v>
      </c>
      <c r="L165" s="36">
        <f t="shared" ca="1" si="2"/>
        <v>46310.478143171298</v>
      </c>
    </row>
    <row r="166" spans="1:12" ht="15" thickBot="1" x14ac:dyDescent="0.35">
      <c r="A166" s="8" t="s">
        <v>58</v>
      </c>
      <c r="B166" s="8" t="s">
        <v>45</v>
      </c>
      <c r="C166" s="8" t="s">
        <v>18</v>
      </c>
      <c r="D166" s="8" t="s">
        <v>12</v>
      </c>
      <c r="E166" s="16">
        <v>1098.08</v>
      </c>
      <c r="F166" s="8">
        <v>9</v>
      </c>
      <c r="G166" s="9">
        <v>0.1</v>
      </c>
      <c r="H166" s="8">
        <v>395.31</v>
      </c>
      <c r="I166" s="10">
        <v>45692</v>
      </c>
      <c r="J166" s="8">
        <v>395.31</v>
      </c>
      <c r="L166" s="36">
        <f t="shared" ca="1" si="2"/>
        <v>46310.478143171298</v>
      </c>
    </row>
    <row r="167" spans="1:12" ht="15" thickBot="1" x14ac:dyDescent="0.35">
      <c r="A167" s="8" t="s">
        <v>65</v>
      </c>
      <c r="B167" s="8" t="s">
        <v>48</v>
      </c>
      <c r="C167" s="8" t="s">
        <v>11</v>
      </c>
      <c r="D167" s="8" t="s">
        <v>39</v>
      </c>
      <c r="E167" s="16">
        <v>827.25</v>
      </c>
      <c r="F167" s="8">
        <v>7</v>
      </c>
      <c r="G167" s="9">
        <v>0.1</v>
      </c>
      <c r="H167" s="8">
        <v>335.04</v>
      </c>
      <c r="I167" s="10">
        <v>45693</v>
      </c>
      <c r="J167" s="8">
        <v>335.04</v>
      </c>
      <c r="L167" s="36">
        <f t="shared" ca="1" si="2"/>
        <v>46310.478143171298</v>
      </c>
    </row>
    <row r="168" spans="1:12" ht="15" thickBot="1" x14ac:dyDescent="0.35">
      <c r="A168" s="8" t="s">
        <v>70</v>
      </c>
      <c r="B168" s="8" t="s">
        <v>29</v>
      </c>
      <c r="C168" s="8" t="s">
        <v>34</v>
      </c>
      <c r="D168" s="8" t="s">
        <v>15</v>
      </c>
      <c r="E168" s="16">
        <v>741.88</v>
      </c>
      <c r="F168" s="8">
        <v>16</v>
      </c>
      <c r="G168" s="9">
        <v>0.1</v>
      </c>
      <c r="H168" s="8">
        <v>333.85</v>
      </c>
      <c r="I168" s="10">
        <v>45695</v>
      </c>
      <c r="J168" s="8">
        <v>333.85</v>
      </c>
      <c r="L168" s="36">
        <f t="shared" ca="1" si="2"/>
        <v>46310.478143171298</v>
      </c>
    </row>
    <row r="169" spans="1:12" ht="15" thickBot="1" x14ac:dyDescent="0.35">
      <c r="A169" s="8" t="s">
        <v>72</v>
      </c>
      <c r="B169" s="8" t="s">
        <v>10</v>
      </c>
      <c r="C169" s="8" t="s">
        <v>18</v>
      </c>
      <c r="D169" s="8" t="s">
        <v>39</v>
      </c>
      <c r="E169" s="16">
        <v>1311.26</v>
      </c>
      <c r="F169" s="8">
        <v>6</v>
      </c>
      <c r="G169" s="9">
        <v>0.1</v>
      </c>
      <c r="H169" s="8">
        <v>531.05999999999995</v>
      </c>
      <c r="I169" s="10">
        <v>45698</v>
      </c>
      <c r="J169" s="8">
        <v>531.05999999999995</v>
      </c>
      <c r="L169" s="36">
        <f t="shared" ca="1" si="2"/>
        <v>46310.478143171298</v>
      </c>
    </row>
    <row r="170" spans="1:12" ht="15" thickBot="1" x14ac:dyDescent="0.35">
      <c r="A170" s="8" t="s">
        <v>72</v>
      </c>
      <c r="B170" s="8" t="s">
        <v>31</v>
      </c>
      <c r="C170" s="8" t="s">
        <v>20</v>
      </c>
      <c r="D170" s="8" t="s">
        <v>39</v>
      </c>
      <c r="E170" s="16">
        <v>573.32000000000005</v>
      </c>
      <c r="F170" s="8">
        <v>19</v>
      </c>
      <c r="G170" s="9">
        <v>0.1</v>
      </c>
      <c r="H170" s="8">
        <v>232.19</v>
      </c>
      <c r="I170" s="10">
        <v>45703</v>
      </c>
      <c r="J170" s="8">
        <v>232.19</v>
      </c>
      <c r="L170" s="36">
        <f t="shared" ca="1" si="2"/>
        <v>46310.478143171298</v>
      </c>
    </row>
    <row r="171" spans="1:12" ht="15" thickBot="1" x14ac:dyDescent="0.35">
      <c r="A171" s="8" t="s">
        <v>52</v>
      </c>
      <c r="B171" s="8" t="s">
        <v>23</v>
      </c>
      <c r="C171" s="8" t="s">
        <v>11</v>
      </c>
      <c r="D171" s="8" t="s">
        <v>21</v>
      </c>
      <c r="E171" s="16">
        <v>1115.22</v>
      </c>
      <c r="F171" s="8">
        <v>14</v>
      </c>
      <c r="G171" s="9">
        <v>0.2</v>
      </c>
      <c r="H171" s="8">
        <v>223.04</v>
      </c>
      <c r="I171" s="10">
        <v>45705</v>
      </c>
      <c r="J171" s="8">
        <v>223.04</v>
      </c>
      <c r="L171" s="36">
        <f t="shared" ca="1" si="2"/>
        <v>46310.478143171298</v>
      </c>
    </row>
    <row r="172" spans="1:12" ht="15" thickBot="1" x14ac:dyDescent="0.35">
      <c r="A172" s="8" t="s">
        <v>13</v>
      </c>
      <c r="B172" s="8" t="s">
        <v>45</v>
      </c>
      <c r="C172" s="8" t="s">
        <v>24</v>
      </c>
      <c r="D172" s="8" t="s">
        <v>15</v>
      </c>
      <c r="E172" s="16">
        <v>845.84</v>
      </c>
      <c r="F172" s="8">
        <v>4</v>
      </c>
      <c r="G172" s="9">
        <v>0</v>
      </c>
      <c r="H172" s="8">
        <v>422.92</v>
      </c>
      <c r="I172" s="10">
        <v>45707</v>
      </c>
      <c r="J172" s="8">
        <v>422.92</v>
      </c>
      <c r="L172" s="36">
        <f t="shared" ca="1" si="2"/>
        <v>46310.478143171298</v>
      </c>
    </row>
    <row r="173" spans="1:12" ht="15" thickBot="1" x14ac:dyDescent="0.35">
      <c r="A173" s="8" t="s">
        <v>30</v>
      </c>
      <c r="B173" s="8" t="s">
        <v>55</v>
      </c>
      <c r="C173" s="8" t="s">
        <v>11</v>
      </c>
      <c r="D173" s="8" t="s">
        <v>21</v>
      </c>
      <c r="E173" s="16">
        <v>1029.8</v>
      </c>
      <c r="F173" s="8">
        <v>3</v>
      </c>
      <c r="G173" s="9">
        <v>0</v>
      </c>
      <c r="H173" s="8">
        <v>257.45</v>
      </c>
      <c r="I173" s="10">
        <v>45708</v>
      </c>
      <c r="J173" s="8">
        <v>257.45</v>
      </c>
      <c r="L173" s="36">
        <f t="shared" ca="1" si="2"/>
        <v>46310.478143171298</v>
      </c>
    </row>
    <row r="174" spans="1:12" ht="15" thickBot="1" x14ac:dyDescent="0.35">
      <c r="A174" s="8" t="s">
        <v>32</v>
      </c>
      <c r="B174" s="8" t="s">
        <v>31</v>
      </c>
      <c r="C174" s="8" t="s">
        <v>24</v>
      </c>
      <c r="D174" s="8" t="s">
        <v>12</v>
      </c>
      <c r="E174" s="16">
        <v>1189.83</v>
      </c>
      <c r="F174" s="8">
        <v>2</v>
      </c>
      <c r="G174" s="9">
        <v>0.2</v>
      </c>
      <c r="H174" s="8">
        <v>380.75</v>
      </c>
      <c r="I174" s="10">
        <v>45709</v>
      </c>
      <c r="J174" s="8">
        <v>380.75</v>
      </c>
      <c r="L174" s="36">
        <f t="shared" ca="1" si="2"/>
        <v>46310.478143171298</v>
      </c>
    </row>
    <row r="175" spans="1:12" ht="15" thickBot="1" x14ac:dyDescent="0.35">
      <c r="A175" s="8" t="s">
        <v>67</v>
      </c>
      <c r="B175" s="8" t="s">
        <v>43</v>
      </c>
      <c r="C175" s="8" t="s">
        <v>20</v>
      </c>
      <c r="D175" s="8" t="s">
        <v>12</v>
      </c>
      <c r="E175" s="16">
        <v>704.28</v>
      </c>
      <c r="F175" s="8">
        <v>15</v>
      </c>
      <c r="G175" s="9">
        <v>0.2</v>
      </c>
      <c r="H175" s="8">
        <v>225.37</v>
      </c>
      <c r="I175" s="10">
        <v>45712</v>
      </c>
      <c r="J175" s="8">
        <v>225.37</v>
      </c>
      <c r="L175" s="36">
        <f t="shared" ca="1" si="2"/>
        <v>46310.478143171298</v>
      </c>
    </row>
    <row r="176" spans="1:12" ht="15" thickBot="1" x14ac:dyDescent="0.35">
      <c r="A176" s="8" t="s">
        <v>65</v>
      </c>
      <c r="B176" s="8" t="s">
        <v>47</v>
      </c>
      <c r="C176" s="8" t="s">
        <v>34</v>
      </c>
      <c r="D176" s="8" t="s">
        <v>39</v>
      </c>
      <c r="E176" s="16">
        <v>1618.22</v>
      </c>
      <c r="F176" s="8">
        <v>12</v>
      </c>
      <c r="G176" s="9">
        <v>0.2</v>
      </c>
      <c r="H176" s="8">
        <v>582.55999999999995</v>
      </c>
      <c r="I176" s="10">
        <v>45712</v>
      </c>
      <c r="J176" s="8">
        <v>582.55999999999995</v>
      </c>
      <c r="L176" s="36">
        <f t="shared" ca="1" si="2"/>
        <v>46310.478143171298</v>
      </c>
    </row>
    <row r="177" spans="1:12" ht="15" thickBot="1" x14ac:dyDescent="0.35">
      <c r="A177" s="8" t="s">
        <v>73</v>
      </c>
      <c r="B177" s="8" t="s">
        <v>53</v>
      </c>
      <c r="C177" s="8" t="s">
        <v>34</v>
      </c>
      <c r="D177" s="8" t="s">
        <v>12</v>
      </c>
      <c r="E177" s="16">
        <v>1014.43</v>
      </c>
      <c r="F177" s="8">
        <v>2</v>
      </c>
      <c r="G177" s="9">
        <v>0.15</v>
      </c>
      <c r="H177" s="8">
        <v>344.91</v>
      </c>
      <c r="I177" s="10">
        <v>45713</v>
      </c>
      <c r="J177" s="8">
        <v>344.91</v>
      </c>
      <c r="L177" s="36">
        <f t="shared" ca="1" si="2"/>
        <v>46310.478143171298</v>
      </c>
    </row>
    <row r="178" spans="1:12" ht="15" thickBot="1" x14ac:dyDescent="0.35">
      <c r="A178" s="8" t="s">
        <v>75</v>
      </c>
      <c r="B178" s="8" t="s">
        <v>31</v>
      </c>
      <c r="C178" s="8" t="s">
        <v>34</v>
      </c>
      <c r="D178" s="8" t="s">
        <v>15</v>
      </c>
      <c r="E178" s="16">
        <v>826.97</v>
      </c>
      <c r="F178" s="8">
        <v>18</v>
      </c>
      <c r="G178" s="9">
        <v>0.2</v>
      </c>
      <c r="H178" s="8">
        <v>330.79</v>
      </c>
      <c r="I178" s="10">
        <v>45715</v>
      </c>
      <c r="J178" s="8">
        <v>330.79</v>
      </c>
      <c r="L178" s="36">
        <f t="shared" ca="1" si="2"/>
        <v>46310.478143171298</v>
      </c>
    </row>
    <row r="179" spans="1:12" ht="15" thickBot="1" x14ac:dyDescent="0.35">
      <c r="A179" s="8" t="s">
        <v>16</v>
      </c>
      <c r="B179" s="8" t="s">
        <v>31</v>
      </c>
      <c r="C179" s="8" t="s">
        <v>34</v>
      </c>
      <c r="D179" s="8" t="s">
        <v>15</v>
      </c>
      <c r="E179" s="16">
        <v>1022.23</v>
      </c>
      <c r="F179" s="8">
        <v>8</v>
      </c>
      <c r="G179" s="9">
        <v>0.1</v>
      </c>
      <c r="H179" s="8">
        <v>460</v>
      </c>
      <c r="I179" s="10">
        <v>45717</v>
      </c>
      <c r="J179" s="8">
        <v>460</v>
      </c>
      <c r="L179" s="36">
        <f t="shared" ca="1" si="2"/>
        <v>46310.478143171298</v>
      </c>
    </row>
    <row r="180" spans="1:12" ht="15" thickBot="1" x14ac:dyDescent="0.35">
      <c r="A180" s="8" t="s">
        <v>72</v>
      </c>
      <c r="B180" s="8" t="s">
        <v>29</v>
      </c>
      <c r="C180" s="8" t="s">
        <v>18</v>
      </c>
      <c r="D180" s="8" t="s">
        <v>12</v>
      </c>
      <c r="E180" s="16">
        <v>1099.69</v>
      </c>
      <c r="F180" s="8">
        <v>6</v>
      </c>
      <c r="G180" s="9">
        <v>0</v>
      </c>
      <c r="H180" s="8">
        <v>439.88</v>
      </c>
      <c r="I180" s="10">
        <v>45718</v>
      </c>
      <c r="J180" s="8">
        <v>439.88</v>
      </c>
      <c r="L180" s="36">
        <f t="shared" ca="1" si="2"/>
        <v>46310.478143171298</v>
      </c>
    </row>
    <row r="181" spans="1:12" ht="15" thickBot="1" x14ac:dyDescent="0.35">
      <c r="A181" s="8" t="s">
        <v>52</v>
      </c>
      <c r="B181" s="8" t="s">
        <v>64</v>
      </c>
      <c r="C181" s="8" t="s">
        <v>24</v>
      </c>
      <c r="D181" s="8" t="s">
        <v>12</v>
      </c>
      <c r="E181" s="16">
        <v>710.52</v>
      </c>
      <c r="F181" s="8">
        <v>8</v>
      </c>
      <c r="G181" s="9">
        <v>0.1</v>
      </c>
      <c r="H181" s="8">
        <v>255.79</v>
      </c>
      <c r="I181" s="10">
        <v>45721</v>
      </c>
      <c r="J181" s="8">
        <v>255.79</v>
      </c>
      <c r="L181" s="36">
        <f t="shared" ca="1" si="2"/>
        <v>46310.478143171298</v>
      </c>
    </row>
    <row r="182" spans="1:12" ht="15" thickBot="1" x14ac:dyDescent="0.35">
      <c r="A182" s="8" t="s">
        <v>52</v>
      </c>
      <c r="B182" s="8" t="s">
        <v>59</v>
      </c>
      <c r="C182" s="8" t="s">
        <v>24</v>
      </c>
      <c r="D182" s="8" t="s">
        <v>12</v>
      </c>
      <c r="E182" s="16">
        <v>499.18</v>
      </c>
      <c r="F182" s="8">
        <v>15</v>
      </c>
      <c r="G182" s="9">
        <v>0.2</v>
      </c>
      <c r="H182" s="8">
        <v>159.74</v>
      </c>
      <c r="I182" s="10">
        <v>45724</v>
      </c>
      <c r="J182" s="8">
        <v>159.74</v>
      </c>
      <c r="L182" s="36">
        <f t="shared" ca="1" si="2"/>
        <v>46310.478143171298</v>
      </c>
    </row>
    <row r="183" spans="1:12" ht="15" thickBot="1" x14ac:dyDescent="0.35">
      <c r="A183" s="8" t="s">
        <v>37</v>
      </c>
      <c r="B183" s="8" t="s">
        <v>38</v>
      </c>
      <c r="C183" s="8" t="s">
        <v>20</v>
      </c>
      <c r="D183" s="8" t="s">
        <v>12</v>
      </c>
      <c r="E183" s="16">
        <v>1064.19</v>
      </c>
      <c r="F183" s="8">
        <v>18</v>
      </c>
      <c r="G183" s="9">
        <v>0.05</v>
      </c>
      <c r="H183" s="8">
        <v>404.39</v>
      </c>
      <c r="I183" s="10">
        <v>45725</v>
      </c>
      <c r="J183" s="8">
        <v>404.39</v>
      </c>
      <c r="L183" s="36">
        <f t="shared" ca="1" si="2"/>
        <v>46310.478143171298</v>
      </c>
    </row>
    <row r="184" spans="1:12" ht="15" thickBot="1" x14ac:dyDescent="0.35">
      <c r="A184" s="8" t="s">
        <v>67</v>
      </c>
      <c r="B184" s="8" t="s">
        <v>38</v>
      </c>
      <c r="C184" s="8" t="s">
        <v>18</v>
      </c>
      <c r="D184" s="8" t="s">
        <v>39</v>
      </c>
      <c r="E184" s="16">
        <v>438.76</v>
      </c>
      <c r="F184" s="8">
        <v>18</v>
      </c>
      <c r="G184" s="9">
        <v>0.05</v>
      </c>
      <c r="H184" s="8">
        <v>187.57</v>
      </c>
      <c r="I184" s="10">
        <v>45726</v>
      </c>
      <c r="J184" s="8">
        <v>187.57</v>
      </c>
      <c r="L184" s="36">
        <f t="shared" ca="1" si="2"/>
        <v>46310.478143171298</v>
      </c>
    </row>
    <row r="185" spans="1:12" ht="15" thickBot="1" x14ac:dyDescent="0.35">
      <c r="A185" s="8" t="s">
        <v>41</v>
      </c>
      <c r="B185" s="8" t="s">
        <v>55</v>
      </c>
      <c r="C185" s="8" t="s">
        <v>11</v>
      </c>
      <c r="D185" s="8" t="s">
        <v>15</v>
      </c>
      <c r="E185" s="16">
        <v>864.98</v>
      </c>
      <c r="F185" s="8">
        <v>2</v>
      </c>
      <c r="G185" s="9">
        <v>0.05</v>
      </c>
      <c r="H185" s="8">
        <v>410.87</v>
      </c>
      <c r="I185" s="10">
        <v>45727</v>
      </c>
      <c r="J185" s="8">
        <v>410.87</v>
      </c>
      <c r="L185" s="36">
        <f t="shared" ca="1" si="2"/>
        <v>46310.478143171298</v>
      </c>
    </row>
    <row r="186" spans="1:12" ht="15" thickBot="1" x14ac:dyDescent="0.35">
      <c r="A186" s="8" t="s">
        <v>57</v>
      </c>
      <c r="B186" s="8" t="s">
        <v>55</v>
      </c>
      <c r="C186" s="8" t="s">
        <v>11</v>
      </c>
      <c r="D186" s="8" t="s">
        <v>27</v>
      </c>
      <c r="E186" s="16">
        <v>984.93</v>
      </c>
      <c r="F186" s="8">
        <v>14</v>
      </c>
      <c r="G186" s="9">
        <v>0.2</v>
      </c>
      <c r="H186" s="8">
        <v>275.77999999999997</v>
      </c>
      <c r="I186" s="10">
        <v>45733</v>
      </c>
      <c r="J186" s="8">
        <v>275.77999999999997</v>
      </c>
      <c r="L186" s="36">
        <f t="shared" ca="1" si="2"/>
        <v>46310.478143171298</v>
      </c>
    </row>
    <row r="187" spans="1:12" ht="15" thickBot="1" x14ac:dyDescent="0.35">
      <c r="A187" s="8" t="s">
        <v>25</v>
      </c>
      <c r="B187" s="8" t="s">
        <v>55</v>
      </c>
      <c r="C187" s="8" t="s">
        <v>11</v>
      </c>
      <c r="D187" s="8" t="s">
        <v>15</v>
      </c>
      <c r="E187" s="16">
        <v>1493.49</v>
      </c>
      <c r="F187" s="8">
        <v>18</v>
      </c>
      <c r="G187" s="9">
        <v>0</v>
      </c>
      <c r="H187" s="8">
        <v>746.74</v>
      </c>
      <c r="I187" s="10">
        <v>45734</v>
      </c>
      <c r="J187" s="8">
        <v>746.74</v>
      </c>
      <c r="L187" s="36">
        <f t="shared" ca="1" si="2"/>
        <v>46310.478143171298</v>
      </c>
    </row>
    <row r="188" spans="1:12" ht="15" thickBot="1" x14ac:dyDescent="0.35">
      <c r="A188" s="8" t="s">
        <v>32</v>
      </c>
      <c r="B188" s="8" t="s">
        <v>53</v>
      </c>
      <c r="C188" s="8" t="s">
        <v>20</v>
      </c>
      <c r="D188" s="8" t="s">
        <v>15</v>
      </c>
      <c r="E188" s="16">
        <v>689.43</v>
      </c>
      <c r="F188" s="8">
        <v>9</v>
      </c>
      <c r="G188" s="9">
        <v>0.1</v>
      </c>
      <c r="H188" s="8">
        <v>310.24</v>
      </c>
      <c r="I188" s="10">
        <v>45736</v>
      </c>
      <c r="J188" s="8">
        <v>310.24</v>
      </c>
      <c r="L188" s="36">
        <f t="shared" ca="1" si="2"/>
        <v>46310.478143171298</v>
      </c>
    </row>
    <row r="189" spans="1:12" ht="15" thickBot="1" x14ac:dyDescent="0.35">
      <c r="A189" s="8" t="s">
        <v>40</v>
      </c>
      <c r="B189" s="8" t="s">
        <v>59</v>
      </c>
      <c r="C189" s="8" t="s">
        <v>20</v>
      </c>
      <c r="D189" s="8" t="s">
        <v>15</v>
      </c>
      <c r="E189" s="16">
        <v>682.24</v>
      </c>
      <c r="F189" s="8">
        <v>1</v>
      </c>
      <c r="G189" s="9">
        <v>0</v>
      </c>
      <c r="H189" s="8">
        <v>341.12</v>
      </c>
      <c r="I189" s="10">
        <v>45738</v>
      </c>
      <c r="J189" s="8">
        <v>341.12</v>
      </c>
      <c r="L189" s="36">
        <f t="shared" ca="1" si="2"/>
        <v>46310.478143171298</v>
      </c>
    </row>
    <row r="190" spans="1:12" ht="15" thickBot="1" x14ac:dyDescent="0.35">
      <c r="A190" s="8" t="s">
        <v>41</v>
      </c>
      <c r="B190" s="8" t="s">
        <v>26</v>
      </c>
      <c r="C190" s="8" t="s">
        <v>24</v>
      </c>
      <c r="D190" s="8" t="s">
        <v>21</v>
      </c>
      <c r="E190" s="16">
        <v>458.54</v>
      </c>
      <c r="F190" s="8">
        <v>15</v>
      </c>
      <c r="G190" s="9">
        <v>0.2</v>
      </c>
      <c r="H190" s="8">
        <v>91.71</v>
      </c>
      <c r="I190" s="10">
        <v>45741</v>
      </c>
      <c r="J190" s="8">
        <v>91.71</v>
      </c>
      <c r="L190" s="36">
        <f t="shared" ca="1" si="2"/>
        <v>46310.478143171298</v>
      </c>
    </row>
    <row r="191" spans="1:12" ht="15" thickBot="1" x14ac:dyDescent="0.35">
      <c r="A191" s="8" t="s">
        <v>32</v>
      </c>
      <c r="B191" s="8" t="s">
        <v>26</v>
      </c>
      <c r="C191" s="8" t="s">
        <v>20</v>
      </c>
      <c r="D191" s="8" t="s">
        <v>27</v>
      </c>
      <c r="E191" s="16">
        <v>1184.25</v>
      </c>
      <c r="F191" s="8">
        <v>11</v>
      </c>
      <c r="G191" s="9">
        <v>0.2</v>
      </c>
      <c r="H191" s="8">
        <v>331.59</v>
      </c>
      <c r="I191" s="10">
        <v>45742</v>
      </c>
      <c r="J191" s="8">
        <v>331.59</v>
      </c>
      <c r="L191" s="36">
        <f t="shared" ca="1" si="2"/>
        <v>46310.478143171298</v>
      </c>
    </row>
    <row r="192" spans="1:12" ht="15" thickBot="1" x14ac:dyDescent="0.35">
      <c r="A192" s="8" t="s">
        <v>25</v>
      </c>
      <c r="B192" s="8" t="s">
        <v>10</v>
      </c>
      <c r="C192" s="8" t="s">
        <v>20</v>
      </c>
      <c r="D192" s="8" t="s">
        <v>15</v>
      </c>
      <c r="E192" s="16">
        <v>762.14</v>
      </c>
      <c r="F192" s="8">
        <v>9</v>
      </c>
      <c r="G192" s="9">
        <v>0</v>
      </c>
      <c r="H192" s="8">
        <v>381.07</v>
      </c>
      <c r="I192" s="10">
        <v>45743</v>
      </c>
      <c r="J192" s="8">
        <v>381.07</v>
      </c>
      <c r="L192" s="36">
        <f t="shared" ca="1" si="2"/>
        <v>46310.478143171298</v>
      </c>
    </row>
    <row r="193" spans="1:12" ht="15" thickBot="1" x14ac:dyDescent="0.35">
      <c r="A193" s="8" t="s">
        <v>22</v>
      </c>
      <c r="B193" s="8" t="s">
        <v>53</v>
      </c>
      <c r="C193" s="8" t="s">
        <v>24</v>
      </c>
      <c r="D193" s="8" t="s">
        <v>12</v>
      </c>
      <c r="E193" s="16">
        <v>750.71</v>
      </c>
      <c r="F193" s="8">
        <v>10</v>
      </c>
      <c r="G193" s="9">
        <v>0.15</v>
      </c>
      <c r="H193" s="8">
        <v>255.24</v>
      </c>
      <c r="I193" s="10">
        <v>45743</v>
      </c>
      <c r="J193" s="8">
        <v>255.24</v>
      </c>
      <c r="L193" s="36">
        <f t="shared" ca="1" si="2"/>
        <v>46310.478143171298</v>
      </c>
    </row>
    <row r="194" spans="1:12" ht="15" thickBot="1" x14ac:dyDescent="0.35">
      <c r="A194" s="8" t="s">
        <v>75</v>
      </c>
      <c r="B194" s="8" t="s">
        <v>71</v>
      </c>
      <c r="C194" s="8" t="s">
        <v>34</v>
      </c>
      <c r="D194" s="8" t="s">
        <v>15</v>
      </c>
      <c r="E194" s="16">
        <v>1456.94</v>
      </c>
      <c r="F194" s="8">
        <v>14</v>
      </c>
      <c r="G194" s="9">
        <v>0.05</v>
      </c>
      <c r="H194" s="8">
        <v>692.05</v>
      </c>
      <c r="I194" s="10">
        <v>45745</v>
      </c>
      <c r="J194" s="8">
        <v>692.05</v>
      </c>
      <c r="L194" s="36">
        <f t="shared" ca="1" si="2"/>
        <v>46310.478143171298</v>
      </c>
    </row>
    <row r="195" spans="1:12" ht="15" thickBot="1" x14ac:dyDescent="0.35">
      <c r="A195" s="8" t="s">
        <v>44</v>
      </c>
      <c r="B195" s="8" t="s">
        <v>61</v>
      </c>
      <c r="C195" s="8" t="s">
        <v>18</v>
      </c>
      <c r="D195" s="8" t="s">
        <v>27</v>
      </c>
      <c r="E195" s="16">
        <v>1093.3800000000001</v>
      </c>
      <c r="F195" s="8">
        <v>17</v>
      </c>
      <c r="G195" s="9">
        <v>0.1</v>
      </c>
      <c r="H195" s="8">
        <v>344.41</v>
      </c>
      <c r="I195" s="10">
        <v>45745</v>
      </c>
      <c r="J195" s="8">
        <v>344.41</v>
      </c>
      <c r="L195" s="36">
        <f t="shared" ref="L195:L201" ca="1" si="3">NOW()</f>
        <v>46310.478143171298</v>
      </c>
    </row>
    <row r="196" spans="1:12" ht="15" thickBot="1" x14ac:dyDescent="0.35">
      <c r="A196" s="8" t="s">
        <v>37</v>
      </c>
      <c r="B196" s="8" t="s">
        <v>43</v>
      </c>
      <c r="C196" s="8" t="s">
        <v>11</v>
      </c>
      <c r="D196" s="8" t="s">
        <v>15</v>
      </c>
      <c r="E196" s="16">
        <v>934.27</v>
      </c>
      <c r="F196" s="8">
        <v>8</v>
      </c>
      <c r="G196" s="9">
        <v>0.15</v>
      </c>
      <c r="H196" s="8">
        <v>397.06</v>
      </c>
      <c r="I196" s="10">
        <v>45746</v>
      </c>
      <c r="J196" s="8">
        <v>397.06</v>
      </c>
      <c r="L196" s="36">
        <f t="shared" ca="1" si="3"/>
        <v>46310.478143171298</v>
      </c>
    </row>
    <row r="197" spans="1:12" ht="15" thickBot="1" x14ac:dyDescent="0.35">
      <c r="A197" s="8" t="s">
        <v>70</v>
      </c>
      <c r="B197" s="8" t="s">
        <v>36</v>
      </c>
      <c r="C197" s="8" t="s">
        <v>34</v>
      </c>
      <c r="D197" s="8" t="s">
        <v>15</v>
      </c>
      <c r="E197" s="16">
        <v>1465.35</v>
      </c>
      <c r="F197" s="8">
        <v>8</v>
      </c>
      <c r="G197" s="9">
        <v>0.2</v>
      </c>
      <c r="H197" s="8">
        <v>586.14</v>
      </c>
      <c r="I197" s="10">
        <v>45746</v>
      </c>
      <c r="J197" s="8">
        <v>586.14</v>
      </c>
      <c r="L197" s="36">
        <f t="shared" ca="1" si="3"/>
        <v>46310.478143171298</v>
      </c>
    </row>
    <row r="198" spans="1:12" ht="15" thickBot="1" x14ac:dyDescent="0.35">
      <c r="A198" s="8" t="s">
        <v>52</v>
      </c>
      <c r="B198" s="8" t="s">
        <v>14</v>
      </c>
      <c r="C198" s="8" t="s">
        <v>20</v>
      </c>
      <c r="D198" s="8" t="s">
        <v>39</v>
      </c>
      <c r="E198" s="16">
        <v>740.8</v>
      </c>
      <c r="F198" s="8">
        <v>3</v>
      </c>
      <c r="G198" s="9">
        <v>0</v>
      </c>
      <c r="H198" s="8">
        <v>333.36</v>
      </c>
      <c r="I198" s="10">
        <v>45749</v>
      </c>
      <c r="J198" s="8">
        <v>333.36</v>
      </c>
      <c r="L198" s="36">
        <f t="shared" ca="1" si="3"/>
        <v>46310.478143171298</v>
      </c>
    </row>
    <row r="199" spans="1:12" ht="15" thickBot="1" x14ac:dyDescent="0.35">
      <c r="A199" s="8" t="s">
        <v>58</v>
      </c>
      <c r="B199" s="8" t="s">
        <v>43</v>
      </c>
      <c r="C199" s="8" t="s">
        <v>11</v>
      </c>
      <c r="D199" s="8" t="s">
        <v>39</v>
      </c>
      <c r="E199" s="16">
        <v>545.44000000000005</v>
      </c>
      <c r="F199" s="8">
        <v>17</v>
      </c>
      <c r="G199" s="9">
        <v>0</v>
      </c>
      <c r="H199" s="8">
        <v>245.45</v>
      </c>
      <c r="I199" s="10">
        <v>45752</v>
      </c>
      <c r="J199" s="8">
        <v>245.45</v>
      </c>
      <c r="L199" s="36">
        <f t="shared" ca="1" si="3"/>
        <v>46310.478143171298</v>
      </c>
    </row>
    <row r="200" spans="1:12" ht="15" thickBot="1" x14ac:dyDescent="0.35">
      <c r="A200" s="8" t="s">
        <v>35</v>
      </c>
      <c r="B200" s="8" t="s">
        <v>36</v>
      </c>
      <c r="C200" s="8" t="s">
        <v>18</v>
      </c>
      <c r="D200" s="8" t="s">
        <v>12</v>
      </c>
      <c r="E200" s="16">
        <v>997.61</v>
      </c>
      <c r="F200" s="8">
        <v>8</v>
      </c>
      <c r="G200" s="9">
        <v>0.05</v>
      </c>
      <c r="H200" s="8">
        <v>379.09</v>
      </c>
      <c r="I200" s="10">
        <v>45752</v>
      </c>
      <c r="J200" s="8">
        <v>379.09</v>
      </c>
      <c r="L200" s="36">
        <f t="shared" ca="1" si="3"/>
        <v>46310.478143171298</v>
      </c>
    </row>
    <row r="201" spans="1:12" ht="15" thickBot="1" x14ac:dyDescent="0.35">
      <c r="A201" s="8" t="s">
        <v>60</v>
      </c>
      <c r="B201" s="8" t="s">
        <v>36</v>
      </c>
      <c r="C201" s="8" t="s">
        <v>20</v>
      </c>
      <c r="D201" s="8" t="s">
        <v>15</v>
      </c>
      <c r="E201" s="16">
        <v>928.32</v>
      </c>
      <c r="F201" s="8">
        <v>2</v>
      </c>
      <c r="G201" s="9">
        <v>0.05</v>
      </c>
      <c r="H201" s="8">
        <v>440.95</v>
      </c>
      <c r="I201" s="10">
        <v>45754</v>
      </c>
      <c r="J201" s="8">
        <v>440.95</v>
      </c>
      <c r="L201" s="36">
        <f t="shared" ca="1" si="3"/>
        <v>46310.478143171298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B243-3C8A-40D1-B160-B67743D24DE6}">
  <dimension ref="A3:G10"/>
  <sheetViews>
    <sheetView workbookViewId="0">
      <selection activeCell="U5" sqref="U5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8.5546875" bestFit="1" customWidth="1"/>
    <col min="4" max="4" width="10.33203125" bestFit="1" customWidth="1"/>
    <col min="5" max="5" width="8.5546875" bestFit="1" customWidth="1"/>
    <col min="6" max="6" width="13.77734375" bestFit="1" customWidth="1"/>
    <col min="7" max="7" width="10.5546875" bestFit="1" customWidth="1"/>
  </cols>
  <sheetData>
    <row r="3" spans="1:7" x14ac:dyDescent="0.3">
      <c r="A3" s="33" t="s">
        <v>129</v>
      </c>
      <c r="B3" s="33" t="s">
        <v>150</v>
      </c>
    </row>
    <row r="4" spans="1:7" x14ac:dyDescent="0.3">
      <c r="A4" s="33" t="s">
        <v>125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126</v>
      </c>
    </row>
    <row r="5" spans="1:7" x14ac:dyDescent="0.3">
      <c r="A5" s="34" t="s">
        <v>34</v>
      </c>
      <c r="B5" s="17">
        <v>11297.150000000001</v>
      </c>
      <c r="C5" s="17">
        <v>12200.26</v>
      </c>
      <c r="D5" s="17">
        <v>6621.24</v>
      </c>
      <c r="E5" s="17">
        <v>4876.96</v>
      </c>
      <c r="F5" s="17">
        <v>8472.7199999999993</v>
      </c>
      <c r="G5" s="17">
        <v>43468.33</v>
      </c>
    </row>
    <row r="6" spans="1:7" x14ac:dyDescent="0.3">
      <c r="A6" s="34" t="s">
        <v>18</v>
      </c>
      <c r="B6" s="17">
        <v>10391.480000000001</v>
      </c>
      <c r="C6" s="17">
        <v>2401.4499999999998</v>
      </c>
      <c r="D6" s="17">
        <v>2869.54</v>
      </c>
      <c r="E6" s="17">
        <v>7592.3399999999992</v>
      </c>
      <c r="F6" s="17">
        <v>8189.2200000000012</v>
      </c>
      <c r="G6" s="17">
        <v>31444.030000000002</v>
      </c>
    </row>
    <row r="7" spans="1:7" x14ac:dyDescent="0.3">
      <c r="A7" s="34" t="s">
        <v>24</v>
      </c>
      <c r="B7" s="17">
        <v>8037.0100000000011</v>
      </c>
      <c r="C7" s="17">
        <v>8422.82</v>
      </c>
      <c r="D7" s="17">
        <v>8191.7099999999991</v>
      </c>
      <c r="E7" s="17">
        <v>6978.08</v>
      </c>
      <c r="F7" s="17">
        <v>3345.8</v>
      </c>
      <c r="G7" s="17">
        <v>34975.420000000006</v>
      </c>
    </row>
    <row r="8" spans="1:7" x14ac:dyDescent="0.3">
      <c r="A8" s="34" t="s">
        <v>20</v>
      </c>
      <c r="B8" s="17">
        <v>9588.0400000000009</v>
      </c>
      <c r="C8" s="17">
        <v>7465.31</v>
      </c>
      <c r="D8" s="17">
        <v>11989.070000000003</v>
      </c>
      <c r="E8" s="17">
        <v>7982.73</v>
      </c>
      <c r="F8" s="17">
        <v>1554.52</v>
      </c>
      <c r="G8" s="17">
        <v>38579.670000000006</v>
      </c>
    </row>
    <row r="9" spans="1:7" x14ac:dyDescent="0.3">
      <c r="A9" s="34" t="s">
        <v>11</v>
      </c>
      <c r="B9" s="17">
        <v>6691.17</v>
      </c>
      <c r="C9" s="17">
        <v>10509.429999999998</v>
      </c>
      <c r="D9" s="17">
        <v>11372.44</v>
      </c>
      <c r="E9" s="17">
        <v>9182.7800000000007</v>
      </c>
      <c r="F9" s="17">
        <v>5782.32</v>
      </c>
      <c r="G9" s="17">
        <v>43538.14</v>
      </c>
    </row>
    <row r="10" spans="1:7" x14ac:dyDescent="0.3">
      <c r="A10" s="34" t="s">
        <v>126</v>
      </c>
      <c r="B10" s="17">
        <v>46004.850000000006</v>
      </c>
      <c r="C10" s="17">
        <v>40999.269999999997</v>
      </c>
      <c r="D10" s="17">
        <v>41044</v>
      </c>
      <c r="E10" s="17">
        <v>36612.89</v>
      </c>
      <c r="F10" s="17">
        <v>27344.58</v>
      </c>
      <c r="G10" s="17">
        <v>192005.59000000003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37F7-D8EF-4673-9433-8311BAAF7451}">
  <dimension ref="A1:L55"/>
  <sheetViews>
    <sheetView showGridLines="0" tabSelected="1" zoomScale="70" zoomScaleNormal="70" workbookViewId="0">
      <selection activeCell="AB31" sqref="AB31"/>
    </sheetView>
  </sheetViews>
  <sheetFormatPr defaultColWidth="8.5546875" defaultRowHeight="14.4" x14ac:dyDescent="0.3"/>
  <cols>
    <col min="1" max="12" width="13" customWidth="1"/>
  </cols>
  <sheetData>
    <row r="1" spans="1:12" ht="22.8" x14ac:dyDescent="0.3">
      <c r="A1" s="62" t="s">
        <v>151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3" spans="1:12" x14ac:dyDescent="0.3">
      <c r="A3" s="63" t="s">
        <v>85</v>
      </c>
      <c r="B3" s="63"/>
      <c r="C3" s="63" t="s">
        <v>86</v>
      </c>
      <c r="D3" s="63"/>
      <c r="E3" s="63" t="s">
        <v>88</v>
      </c>
      <c r="F3" s="63"/>
      <c r="G3" s="63" t="s">
        <v>152</v>
      </c>
      <c r="H3" s="63"/>
      <c r="I3" s="63" t="s">
        <v>153</v>
      </c>
      <c r="J3" s="63"/>
      <c r="K3" s="63" t="s">
        <v>154</v>
      </c>
      <c r="L3" s="63"/>
    </row>
    <row r="4" spans="1:12" ht="21" x14ac:dyDescent="0.3">
      <c r="A4" s="58">
        <f>SUM([1]Sheet1!E2:E201)</f>
        <v>195217.75999999992</v>
      </c>
      <c r="B4" s="58"/>
      <c r="C4" s="58">
        <f>SUM([1]Sheet1!I2:I201)</f>
        <v>68287.010000000009</v>
      </c>
      <c r="D4" s="58"/>
      <c r="E4" s="59">
        <f>SUM([1]Sheet1!I2:I201)/SUM([1]Sheet1!E2:E201)</f>
        <v>0.34979916786259629</v>
      </c>
      <c r="F4" s="59"/>
      <c r="G4" s="60">
        <f>COUNTA([1]Sheet1!A2:A201)</f>
        <v>200</v>
      </c>
      <c r="H4" s="60"/>
      <c r="I4" s="59">
        <f>AVERAGE([1]Sheet1!G2:G201)</f>
        <v>9.7250000000000003E-2</v>
      </c>
      <c r="J4" s="59"/>
      <c r="K4" s="61" t="str">
        <f>INDEX([1]Customers!A2:A31,MATCH(MAX([1]Customers!B2:B31),[1]Customers!B2:B31,0))</f>
        <v>CUST015</v>
      </c>
      <c r="L4" s="61"/>
    </row>
    <row r="22" spans="7:12" x14ac:dyDescent="0.3">
      <c r="G22" s="52" t="s">
        <v>155</v>
      </c>
      <c r="H22" s="52"/>
      <c r="I22" s="52"/>
      <c r="J22" s="52"/>
      <c r="K22" s="52"/>
      <c r="L22" s="52"/>
    </row>
    <row r="23" spans="7:12" x14ac:dyDescent="0.3">
      <c r="G23" s="19" t="s">
        <v>78</v>
      </c>
      <c r="H23" s="53" t="s">
        <v>156</v>
      </c>
      <c r="I23" s="54"/>
      <c r="J23" s="53" t="s">
        <v>148</v>
      </c>
      <c r="K23" s="55"/>
      <c r="L23" s="54"/>
    </row>
    <row r="24" spans="7:12" x14ac:dyDescent="0.3">
      <c r="G24" s="44">
        <v>1</v>
      </c>
      <c r="H24" s="56" t="str">
        <f>INDEX([1]Customers!$A$2:$A$31,MATCH(J24,[1]Customers!$B$2:$B$31,0))</f>
        <v>CUST015</v>
      </c>
      <c r="I24" s="56"/>
      <c r="J24" s="57">
        <f>LARGE([1]Customers!$B$2:$B$31,G24)</f>
        <v>11611.060000000001</v>
      </c>
      <c r="K24" s="57"/>
      <c r="L24" s="57"/>
    </row>
    <row r="25" spans="7:12" x14ac:dyDescent="0.3">
      <c r="G25" s="44">
        <v>2</v>
      </c>
      <c r="H25" s="50" t="str">
        <f>INDEX([1]Customers!$A$2:$A$31,MATCH(J25,[1]Customers!$B$2:$B$31,0))</f>
        <v>CUST028</v>
      </c>
      <c r="I25" s="50"/>
      <c r="J25" s="51">
        <f>LARGE([1]Customers!$B$2:$B$31,G25)</f>
        <v>10293.870000000001</v>
      </c>
      <c r="K25" s="51"/>
      <c r="L25" s="51"/>
    </row>
    <row r="26" spans="7:12" x14ac:dyDescent="0.3">
      <c r="G26" s="44">
        <v>3</v>
      </c>
      <c r="H26" s="50" t="str">
        <f>INDEX([1]Customers!$A$2:$A$31,MATCH(J26,[1]Customers!$B$2:$B$31,0))</f>
        <v>CUST007</v>
      </c>
      <c r="I26" s="50"/>
      <c r="J26" s="51">
        <f>LARGE([1]Customers!$B$2:$B$31,G26)</f>
        <v>9941.8799999999992</v>
      </c>
      <c r="K26" s="51"/>
      <c r="L26" s="51"/>
    </row>
    <row r="27" spans="7:12" x14ac:dyDescent="0.3">
      <c r="G27" s="44">
        <v>4</v>
      </c>
      <c r="H27" s="50" t="str">
        <f>INDEX([1]Customers!$A$2:$A$31,MATCH(J27,[1]Customers!$B$2:$B$31,0))</f>
        <v>CUST008</v>
      </c>
      <c r="I27" s="50"/>
      <c r="J27" s="51">
        <f>LARGE([1]Customers!$B$2:$B$31,G27)</f>
        <v>9760.7999999999993</v>
      </c>
      <c r="K27" s="51"/>
      <c r="L27" s="51"/>
    </row>
    <row r="28" spans="7:12" x14ac:dyDescent="0.3">
      <c r="G28" s="44">
        <v>5</v>
      </c>
      <c r="H28" s="50" t="str">
        <f>INDEX([1]Customers!$A$2:$A$31,MATCH(J28,[1]Customers!$B$2:$B$31,0))</f>
        <v>CUST026</v>
      </c>
      <c r="I28" s="50"/>
      <c r="J28" s="51">
        <f>LARGE([1]Customers!$B$2:$B$31,G28)</f>
        <v>9371.81</v>
      </c>
      <c r="K28" s="51"/>
      <c r="L28" s="51"/>
    </row>
    <row r="38" spans="1:12" x14ac:dyDescent="0.3">
      <c r="A38" s="49" t="s">
        <v>157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</row>
    <row r="39" spans="1:12" x14ac:dyDescent="0.3">
      <c r="A39" s="48" t="str">
        <f>"• Top customer is "&amp;K4&amp;" with total purchases of "&amp;TEXT(MAX([1]Customers!B2:B31),"#,##0")&amp;"; "&amp;COUNTIF([1]Customers!E2:E31,"High Value")&amp;" customers are High Value (≥ "&amp;TEXT([1]Customers!H2,"#,##0")&amp;")."</f>
        <v>• Top customer is CUST015 with total purchases of 11,611; 8 customers are High Value (≥ 8,000).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</row>
    <row r="40" spans="1:12" x14ac:dyDescent="0.3">
      <c r="A40" s="48" t="str">
        <f>"• Best region: "&amp;INDEX(A51:A55,MATCH(MAX(B51:B55),B51:B55,0))&amp;" ("&amp;TEXT(MAX(B51:B55),"#,##0")&amp;"); weakest: "&amp;INDEX(A51:A55,MATCH(MIN(B51:B55),B51:B55,0))&amp;" ("&amp;TEXT(MIN(B51:B55),"#,##0")&amp;")."</f>
        <v>• Best region: West (44,084); weakest: East (32,442).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</row>
    <row r="41" spans="1:12" x14ac:dyDescent="0.3">
      <c r="A41" s="48" t="str">
        <f>"• Best category: "&amp;INDEX(D51:D55,MATCH(MAX(E51:E55),E51:E55,0))&amp;" ("&amp;TEXT(MAX(E51:E55)/SUM(E51:E55),"0%")&amp;" of sales); weakest: "&amp;INDEX(D51:D55,MATCH(MIN(E51:E55),E51:E55,0))&amp;"."</f>
        <v>• Best category: Books (24% of sales); weakest: Office Supplies.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1:12" x14ac:dyDescent="0.3">
      <c r="A42" s="48" t="str">
        <f>"• Peak month: "&amp;TEXT(INDEX([1]Monthly!A2:A13,MATCH(MAX([1]Monthly!B2:B13),[1]Monthly!B2:B13,0)),"mmm-yyyy")&amp;"; lowest full month: "&amp;TEXT(INDEX([1]Monthly!A2:A13,MATCH(MIN([1]Monthly!B2:B13),[1]Monthly!B2:B13,0)),"mmm-yyyy")&amp;" (Apr-25 excluded, partial)."</f>
        <v>• Peak month: Sep-2024; lowest full month: Aug-2024 (Apr-25 excluded, partial).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</row>
    <row r="43" spans="1:12" x14ac:dyDescent="0.3">
      <c r="A43" s="48" t="str">
        <f>"• Regression: each extra 1 of Sales adds about "&amp;TEXT([1]Regression!B20,"0.000")&amp;" Profit (R² = "&amp;TEXT([1]Regression!B7,"0.00")&amp;"), so higher sales strongly drive profit."</f>
        <v>• Regression: each extra 1 of Sales adds about 0.351 Profit (R² = 0.60), so higher sales strongly drive profit.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</row>
    <row r="44" spans="1:12" x14ac:dyDescent="0.3">
      <c r="A44" s="48" t="str">
        <f>"• What-If: cutting average discount to 0% would give profit of "&amp;TEXT([1]WhatIf!C8,"#,##0")&amp;" vs "&amp;TEXT([1]WhatIf!B2,"#,##0")&amp;" today (volume held constant)."</f>
        <v>• What-If: cutting average discount to 0% would give profit of 91,096 vs 68,287 today (volume held constant).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</row>
    <row r="49" spans="1:5" x14ac:dyDescent="0.3">
      <c r="A49" s="45" t="s">
        <v>158</v>
      </c>
    </row>
    <row r="50" spans="1:5" x14ac:dyDescent="0.3">
      <c r="A50" s="19" t="s">
        <v>2</v>
      </c>
      <c r="B50" s="19" t="s">
        <v>4</v>
      </c>
      <c r="D50" s="19" t="s">
        <v>159</v>
      </c>
      <c r="E50" s="19" t="s">
        <v>4</v>
      </c>
    </row>
    <row r="51" spans="1:5" x14ac:dyDescent="0.3">
      <c r="A51" s="46" t="str">
        <f>[1]Pivot_Analysis!A4</f>
        <v>Central</v>
      </c>
      <c r="B51" s="47">
        <f>[1]Pivot_Analysis!G4</f>
        <v>43468.33</v>
      </c>
      <c r="D51" s="46" t="str">
        <f>[1]Pivot_Analysis!B3</f>
        <v>Books</v>
      </c>
      <c r="E51" s="47">
        <f>[1]Pivot_Analysis!B9</f>
        <v>47002.460000000006</v>
      </c>
    </row>
    <row r="52" spans="1:5" x14ac:dyDescent="0.3">
      <c r="A52" s="46" t="str">
        <f>[1]Pivot_Analysis!A5</f>
        <v>East</v>
      </c>
      <c r="B52" s="47">
        <f>[1]Pivot_Analysis!G5</f>
        <v>32441.640000000003</v>
      </c>
      <c r="D52" s="46" t="str">
        <f>[1]Pivot_Analysis!C3</f>
        <v>Clothing</v>
      </c>
      <c r="E52" s="47">
        <f>[1]Pivot_Analysis!C9</f>
        <v>41927.589999999997</v>
      </c>
    </row>
    <row r="53" spans="1:5" x14ac:dyDescent="0.3">
      <c r="A53" s="46" t="str">
        <f>[1]Pivot_Analysis!A6</f>
        <v>North</v>
      </c>
      <c r="B53" s="47">
        <f>[1]Pivot_Analysis!G6</f>
        <v>34975.420000000006</v>
      </c>
      <c r="D53" s="46" t="str">
        <f>[1]Pivot_Analysis!D3</f>
        <v>Electronics</v>
      </c>
      <c r="E53" s="47">
        <f>[1]Pivot_Analysis!D9</f>
        <v>41044</v>
      </c>
    </row>
    <row r="54" spans="1:5" x14ac:dyDescent="0.3">
      <c r="A54" s="46" t="str">
        <f>[1]Pivot_Analysis!A7</f>
        <v>South</v>
      </c>
      <c r="B54" s="47">
        <f>[1]Pivot_Analysis!G7</f>
        <v>40248.79</v>
      </c>
      <c r="D54" s="46" t="str">
        <f>[1]Pivot_Analysis!E3</f>
        <v>Furniture</v>
      </c>
      <c r="E54" s="47">
        <f>[1]Pivot_Analysis!E9</f>
        <v>36612.89</v>
      </c>
    </row>
    <row r="55" spans="1:5" x14ac:dyDescent="0.3">
      <c r="A55" s="46" t="str">
        <f>[1]Pivot_Analysis!A8</f>
        <v>West</v>
      </c>
      <c r="B55" s="47">
        <f>[1]Pivot_Analysis!G8</f>
        <v>44083.58</v>
      </c>
      <c r="D55" s="46" t="str">
        <f>[1]Pivot_Analysis!F3</f>
        <v>Office Supplies</v>
      </c>
      <c r="E55" s="47">
        <f>[1]Pivot_Analysis!F9</f>
        <v>28630.82</v>
      </c>
    </row>
  </sheetData>
  <mergeCells count="33">
    <mergeCell ref="A1:L1"/>
    <mergeCell ref="A3:B3"/>
    <mergeCell ref="C3:D3"/>
    <mergeCell ref="E3:F3"/>
    <mergeCell ref="G3:H3"/>
    <mergeCell ref="I3:J3"/>
    <mergeCell ref="K3:L3"/>
    <mergeCell ref="H25:I25"/>
    <mergeCell ref="J25:L25"/>
    <mergeCell ref="A4:B4"/>
    <mergeCell ref="C4:D4"/>
    <mergeCell ref="E4:F4"/>
    <mergeCell ref="G4:H4"/>
    <mergeCell ref="I4:J4"/>
    <mergeCell ref="K4:L4"/>
    <mergeCell ref="G22:L22"/>
    <mergeCell ref="H23:I23"/>
    <mergeCell ref="J23:L23"/>
    <mergeCell ref="H24:I24"/>
    <mergeCell ref="J24:L24"/>
    <mergeCell ref="H26:I26"/>
    <mergeCell ref="J26:L26"/>
    <mergeCell ref="H27:I27"/>
    <mergeCell ref="J27:L27"/>
    <mergeCell ref="H28:I28"/>
    <mergeCell ref="J28:L28"/>
    <mergeCell ref="A44:L44"/>
    <mergeCell ref="A38:L38"/>
    <mergeCell ref="A39:L39"/>
    <mergeCell ref="A40:L40"/>
    <mergeCell ref="A41:L41"/>
    <mergeCell ref="A42:L42"/>
    <mergeCell ref="A43:L43"/>
  </mergeCells>
  <printOptions gridLines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Q.1 &amp; Q.7</vt:lpstr>
      <vt:lpstr>Q.2</vt:lpstr>
      <vt:lpstr>Q.3</vt:lpstr>
      <vt:lpstr>Q.4</vt:lpstr>
      <vt:lpstr>Q.5</vt:lpstr>
      <vt:lpstr>Q.6</vt:lpstr>
      <vt:lpstr>Q.8 &amp; Q.9</vt:lpstr>
      <vt:lpstr>Q.10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Yaksh Patel</dc:creator>
  <cp:lastModifiedBy>Yaksh Patel</cp:lastModifiedBy>
  <dcterms:created xsi:type="dcterms:W3CDTF">2026-10-12T05:17:46Z</dcterms:created>
  <dcterms:modified xsi:type="dcterms:W3CDTF">2026-10-15T05:59:50Z</dcterms:modified>
</cp:coreProperties>
</file>