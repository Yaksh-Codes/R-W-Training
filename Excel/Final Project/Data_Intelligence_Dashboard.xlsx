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4.xml" ContentType="application/vnd.openxmlformats-officedocument.drawing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KSH PATEL\OneDrive\Desktop\Red &amp; White\Excel\Final Project\"/>
    </mc:Choice>
  </mc:AlternateContent>
  <xr:revisionPtr revIDLastSave="0" documentId="8_{932BFDC3-E339-4F1D-A945-24D7009947CE}" xr6:coauthVersionLast="47" xr6:coauthVersionMax="47" xr10:uidLastSave="{00000000-0000-0000-0000-000000000000}"/>
  <bookViews>
    <workbookView xWindow="-108" yWindow="-108" windowWidth="23256" windowHeight="12456" tabRatio="500" firstSheet="5" activeTab="5" xr2:uid="{00000000-000D-0000-FFFF-FFFF00000000}"/>
  </bookViews>
  <sheets>
    <sheet name="Dashboard" sheetId="1" r:id="rId1"/>
    <sheet name="Executive Charts" sheetId="2" r:id="rId2"/>
    <sheet name="Visualizations" sheetId="3" r:id="rId3"/>
    <sheet name="Insights Report" sheetId="4" r:id="rId4"/>
    <sheet name="Sales Analysis" sheetId="5" r:id="rId5"/>
    <sheet name="Customer Analysis" sheetId="6" r:id="rId6"/>
    <sheet name="Names &amp; Lists" sheetId="7" r:id="rId7"/>
    <sheet name="Date &amp; Time" sheetId="8" r:id="rId8"/>
    <sheet name="Filter Demo" sheetId="9" r:id="rId9"/>
    <sheet name="What-If" sheetId="10" r:id="rId10"/>
    <sheet name="Regression" sheetId="11" r:id="rId11"/>
    <sheet name="Chart Data" sheetId="12" r:id="rId12"/>
    <sheet name="Raw Data" sheetId="13" r:id="rId13"/>
    <sheet name="Sheet1" sheetId="14" r:id="rId14"/>
  </sheets>
  <definedNames>
    <definedName name="_xlnm._FilterDatabase" localSheetId="12" hidden="1">'Raw Data'!$A$1:$T$251</definedName>
    <definedName name="_xlnm.Print_Area" localSheetId="1">'Executive Charts'!$A$1:$V$157</definedName>
  </definedName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2" l="1"/>
  <c r="T251" i="13"/>
  <c r="S251" i="13"/>
  <c r="R251" i="13"/>
  <c r="Q251" i="13"/>
  <c r="P251" i="13"/>
  <c r="O251" i="13"/>
  <c r="T250" i="13"/>
  <c r="S250" i="13"/>
  <c r="R250" i="13"/>
  <c r="Q250" i="13"/>
  <c r="P250" i="13"/>
  <c r="O250" i="13"/>
  <c r="S249" i="13"/>
  <c r="R249" i="13"/>
  <c r="Q249" i="13"/>
  <c r="P249" i="13"/>
  <c r="O249" i="13"/>
  <c r="T248" i="13"/>
  <c r="S248" i="13"/>
  <c r="R248" i="13"/>
  <c r="Q248" i="13"/>
  <c r="P248" i="13"/>
  <c r="O248" i="13"/>
  <c r="T247" i="13"/>
  <c r="S247" i="13"/>
  <c r="R247" i="13"/>
  <c r="Q247" i="13"/>
  <c r="P247" i="13"/>
  <c r="O247" i="13"/>
  <c r="S246" i="13"/>
  <c r="R246" i="13"/>
  <c r="Q246" i="13"/>
  <c r="P246" i="13"/>
  <c r="O246" i="13"/>
  <c r="S245" i="13"/>
  <c r="R245" i="13"/>
  <c r="Q245" i="13"/>
  <c r="P245" i="13"/>
  <c r="O245" i="13"/>
  <c r="T244" i="13"/>
  <c r="S244" i="13"/>
  <c r="R244" i="13"/>
  <c r="Q244" i="13"/>
  <c r="P244" i="13"/>
  <c r="O244" i="13"/>
  <c r="T243" i="13"/>
  <c r="S243" i="13"/>
  <c r="R243" i="13"/>
  <c r="Q243" i="13"/>
  <c r="P243" i="13"/>
  <c r="O243" i="13"/>
  <c r="T242" i="13"/>
  <c r="S242" i="13"/>
  <c r="R242" i="13"/>
  <c r="Q242" i="13"/>
  <c r="P242" i="13"/>
  <c r="O242" i="13"/>
  <c r="T241" i="13"/>
  <c r="S241" i="13"/>
  <c r="R241" i="13"/>
  <c r="Q241" i="13"/>
  <c r="P241" i="13"/>
  <c r="O241" i="13"/>
  <c r="T240" i="13"/>
  <c r="S240" i="13"/>
  <c r="R240" i="13"/>
  <c r="Q240" i="13"/>
  <c r="P240" i="13"/>
  <c r="O240" i="13"/>
  <c r="T239" i="13"/>
  <c r="S239" i="13"/>
  <c r="R239" i="13"/>
  <c r="Q239" i="13"/>
  <c r="P239" i="13"/>
  <c r="O239" i="13"/>
  <c r="S238" i="13"/>
  <c r="R238" i="13"/>
  <c r="Q238" i="13"/>
  <c r="P238" i="13"/>
  <c r="O238" i="13"/>
  <c r="S237" i="13"/>
  <c r="R237" i="13"/>
  <c r="Q237" i="13"/>
  <c r="P237" i="13"/>
  <c r="O237" i="13"/>
  <c r="T236" i="13"/>
  <c r="S236" i="13"/>
  <c r="R236" i="13"/>
  <c r="Q236" i="13"/>
  <c r="P236" i="13"/>
  <c r="O236" i="13"/>
  <c r="T235" i="13"/>
  <c r="S235" i="13"/>
  <c r="R235" i="13"/>
  <c r="Q235" i="13"/>
  <c r="P235" i="13"/>
  <c r="O235" i="13"/>
  <c r="T234" i="13"/>
  <c r="S234" i="13"/>
  <c r="R234" i="13"/>
  <c r="Q234" i="13"/>
  <c r="P234" i="13"/>
  <c r="O234" i="13"/>
  <c r="T233" i="13"/>
  <c r="S233" i="13"/>
  <c r="R233" i="13"/>
  <c r="Q233" i="13"/>
  <c r="P233" i="13"/>
  <c r="O233" i="13"/>
  <c r="S232" i="13"/>
  <c r="R232" i="13"/>
  <c r="Q232" i="13"/>
  <c r="P232" i="13"/>
  <c r="O232" i="13"/>
  <c r="T231" i="13"/>
  <c r="S231" i="13"/>
  <c r="R231" i="13"/>
  <c r="Q231" i="13"/>
  <c r="P231" i="13"/>
  <c r="O231" i="13"/>
  <c r="S230" i="13"/>
  <c r="R230" i="13"/>
  <c r="Q230" i="13"/>
  <c r="P230" i="13"/>
  <c r="O230" i="13"/>
  <c r="T229" i="13"/>
  <c r="S229" i="13"/>
  <c r="R229" i="13"/>
  <c r="Q229" i="13"/>
  <c r="P229" i="13"/>
  <c r="O229" i="13"/>
  <c r="T228" i="13"/>
  <c r="S228" i="13"/>
  <c r="R228" i="13"/>
  <c r="Q228" i="13"/>
  <c r="P228" i="13"/>
  <c r="O228" i="13"/>
  <c r="S227" i="13"/>
  <c r="R227" i="13"/>
  <c r="Q227" i="13"/>
  <c r="P227" i="13"/>
  <c r="O227" i="13"/>
  <c r="T226" i="13"/>
  <c r="S226" i="13"/>
  <c r="R226" i="13"/>
  <c r="Q226" i="13"/>
  <c r="P226" i="13"/>
  <c r="O226" i="13"/>
  <c r="T225" i="13"/>
  <c r="S225" i="13"/>
  <c r="R225" i="13"/>
  <c r="Q225" i="13"/>
  <c r="P225" i="13"/>
  <c r="O225" i="13"/>
  <c r="T224" i="13"/>
  <c r="S224" i="13"/>
  <c r="R224" i="13"/>
  <c r="Q224" i="13"/>
  <c r="P224" i="13"/>
  <c r="O224" i="13"/>
  <c r="T223" i="13"/>
  <c r="S223" i="13"/>
  <c r="R223" i="13"/>
  <c r="Q223" i="13"/>
  <c r="P223" i="13"/>
  <c r="O223" i="13"/>
  <c r="T222" i="13"/>
  <c r="S222" i="13"/>
  <c r="R222" i="13"/>
  <c r="Q222" i="13"/>
  <c r="P222" i="13"/>
  <c r="O222" i="13"/>
  <c r="T221" i="13"/>
  <c r="S221" i="13"/>
  <c r="R221" i="13"/>
  <c r="Q221" i="13"/>
  <c r="P221" i="13"/>
  <c r="O221" i="13"/>
  <c r="T220" i="13"/>
  <c r="S220" i="13"/>
  <c r="R220" i="13"/>
  <c r="Q220" i="13"/>
  <c r="P220" i="13"/>
  <c r="O220" i="13"/>
  <c r="T219" i="13"/>
  <c r="S219" i="13"/>
  <c r="R219" i="13"/>
  <c r="Q219" i="13"/>
  <c r="P219" i="13"/>
  <c r="O219" i="13"/>
  <c r="T218" i="13"/>
  <c r="S218" i="13"/>
  <c r="R218" i="13"/>
  <c r="Q218" i="13"/>
  <c r="P218" i="13"/>
  <c r="O218" i="13"/>
  <c r="T217" i="13"/>
  <c r="S217" i="13"/>
  <c r="R217" i="13"/>
  <c r="Q217" i="13"/>
  <c r="P217" i="13"/>
  <c r="O217" i="13"/>
  <c r="S216" i="13"/>
  <c r="R216" i="13"/>
  <c r="Q216" i="13"/>
  <c r="P216" i="13"/>
  <c r="O216" i="13"/>
  <c r="T215" i="13"/>
  <c r="S215" i="13"/>
  <c r="R215" i="13"/>
  <c r="Q215" i="13"/>
  <c r="P215" i="13"/>
  <c r="O215" i="13"/>
  <c r="S214" i="13"/>
  <c r="R214" i="13"/>
  <c r="Q214" i="13"/>
  <c r="P214" i="13"/>
  <c r="O214" i="13"/>
  <c r="T213" i="13"/>
  <c r="S213" i="13"/>
  <c r="R213" i="13"/>
  <c r="Q213" i="13"/>
  <c r="P213" i="13"/>
  <c r="O213" i="13"/>
  <c r="T212" i="13"/>
  <c r="S212" i="13"/>
  <c r="R212" i="13"/>
  <c r="Q212" i="13"/>
  <c r="P212" i="13"/>
  <c r="O212" i="13"/>
  <c r="T211" i="13"/>
  <c r="S211" i="13"/>
  <c r="R211" i="13"/>
  <c r="Q211" i="13"/>
  <c r="P211" i="13"/>
  <c r="O211" i="13"/>
  <c r="T210" i="13"/>
  <c r="S210" i="13"/>
  <c r="R210" i="13"/>
  <c r="Q210" i="13"/>
  <c r="P210" i="13"/>
  <c r="O210" i="13"/>
  <c r="T209" i="13"/>
  <c r="S209" i="13"/>
  <c r="R209" i="13"/>
  <c r="Q209" i="13"/>
  <c r="P209" i="13"/>
  <c r="O209" i="13"/>
  <c r="T208" i="13"/>
  <c r="S208" i="13"/>
  <c r="R208" i="13"/>
  <c r="Q208" i="13"/>
  <c r="P208" i="13"/>
  <c r="O208" i="13"/>
  <c r="T207" i="13"/>
  <c r="S207" i="13"/>
  <c r="R207" i="13"/>
  <c r="Q207" i="13"/>
  <c r="P207" i="13"/>
  <c r="O207" i="13"/>
  <c r="T206" i="13"/>
  <c r="S206" i="13"/>
  <c r="R206" i="13"/>
  <c r="Q206" i="13"/>
  <c r="P206" i="13"/>
  <c r="O206" i="13"/>
  <c r="T205" i="13"/>
  <c r="S205" i="13"/>
  <c r="R205" i="13"/>
  <c r="Q205" i="13"/>
  <c r="P205" i="13"/>
  <c r="O205" i="13"/>
  <c r="T204" i="13"/>
  <c r="S204" i="13"/>
  <c r="R204" i="13"/>
  <c r="Q204" i="13"/>
  <c r="P204" i="13"/>
  <c r="O204" i="13"/>
  <c r="S203" i="13"/>
  <c r="R203" i="13"/>
  <c r="Q203" i="13"/>
  <c r="P203" i="13"/>
  <c r="O203" i="13"/>
  <c r="S202" i="13"/>
  <c r="R202" i="13"/>
  <c r="Q202" i="13"/>
  <c r="P202" i="13"/>
  <c r="O202" i="13"/>
  <c r="T201" i="13"/>
  <c r="S201" i="13"/>
  <c r="R201" i="13"/>
  <c r="Q201" i="13"/>
  <c r="P201" i="13"/>
  <c r="O201" i="13"/>
  <c r="S200" i="13"/>
  <c r="R200" i="13"/>
  <c r="Q200" i="13"/>
  <c r="P200" i="13"/>
  <c r="O200" i="13"/>
  <c r="T199" i="13"/>
  <c r="S199" i="13"/>
  <c r="R199" i="13"/>
  <c r="Q199" i="13"/>
  <c r="P199" i="13"/>
  <c r="O199" i="13"/>
  <c r="T198" i="13"/>
  <c r="S198" i="13"/>
  <c r="R198" i="13"/>
  <c r="Q198" i="13"/>
  <c r="P198" i="13"/>
  <c r="O198" i="13"/>
  <c r="T197" i="13"/>
  <c r="S197" i="13"/>
  <c r="R197" i="13"/>
  <c r="Q197" i="13"/>
  <c r="P197" i="13"/>
  <c r="O197" i="13"/>
  <c r="T196" i="13"/>
  <c r="S196" i="13"/>
  <c r="R196" i="13"/>
  <c r="Q196" i="13"/>
  <c r="P196" i="13"/>
  <c r="O196" i="13"/>
  <c r="T195" i="13"/>
  <c r="S195" i="13"/>
  <c r="R195" i="13"/>
  <c r="Q195" i="13"/>
  <c r="P195" i="13"/>
  <c r="O195" i="13"/>
  <c r="T194" i="13"/>
  <c r="S194" i="13"/>
  <c r="R194" i="13"/>
  <c r="Q194" i="13"/>
  <c r="P194" i="13"/>
  <c r="O194" i="13"/>
  <c r="T193" i="13"/>
  <c r="S193" i="13"/>
  <c r="R193" i="13"/>
  <c r="Q193" i="13"/>
  <c r="P193" i="13"/>
  <c r="O193" i="13"/>
  <c r="T192" i="13"/>
  <c r="S192" i="13"/>
  <c r="R192" i="13"/>
  <c r="Q192" i="13"/>
  <c r="P192" i="13"/>
  <c r="O192" i="13"/>
  <c r="T191" i="13"/>
  <c r="S191" i="13"/>
  <c r="R191" i="13"/>
  <c r="Q191" i="13"/>
  <c r="P191" i="13"/>
  <c r="O191" i="13"/>
  <c r="T190" i="13"/>
  <c r="S190" i="13"/>
  <c r="R190" i="13"/>
  <c r="Q190" i="13"/>
  <c r="P190" i="13"/>
  <c r="O190" i="13"/>
  <c r="T189" i="13"/>
  <c r="S189" i="13"/>
  <c r="R189" i="13"/>
  <c r="Q189" i="13"/>
  <c r="P189" i="13"/>
  <c r="O189" i="13"/>
  <c r="S188" i="13"/>
  <c r="R188" i="13"/>
  <c r="Q188" i="13"/>
  <c r="P188" i="13"/>
  <c r="O188" i="13"/>
  <c r="T187" i="13"/>
  <c r="S187" i="13"/>
  <c r="R187" i="13"/>
  <c r="Q187" i="13"/>
  <c r="P187" i="13"/>
  <c r="O187" i="13"/>
  <c r="S186" i="13"/>
  <c r="R186" i="13"/>
  <c r="Q186" i="13"/>
  <c r="P186" i="13"/>
  <c r="O186" i="13"/>
  <c r="T185" i="13"/>
  <c r="S185" i="13"/>
  <c r="R185" i="13"/>
  <c r="Q185" i="13"/>
  <c r="P185" i="13"/>
  <c r="O185" i="13"/>
  <c r="S184" i="13"/>
  <c r="R184" i="13"/>
  <c r="Q184" i="13"/>
  <c r="P184" i="13"/>
  <c r="O184" i="13"/>
  <c r="T183" i="13"/>
  <c r="S183" i="13"/>
  <c r="R183" i="13"/>
  <c r="Q183" i="13"/>
  <c r="P183" i="13"/>
  <c r="O183" i="13"/>
  <c r="T182" i="13"/>
  <c r="S182" i="13"/>
  <c r="R182" i="13"/>
  <c r="Q182" i="13"/>
  <c r="P182" i="13"/>
  <c r="O182" i="13"/>
  <c r="T181" i="13"/>
  <c r="S181" i="13"/>
  <c r="R181" i="13"/>
  <c r="Q181" i="13"/>
  <c r="P181" i="13"/>
  <c r="O181" i="13"/>
  <c r="T180" i="13"/>
  <c r="S180" i="13"/>
  <c r="R180" i="13"/>
  <c r="Q180" i="13"/>
  <c r="P180" i="13"/>
  <c r="O180" i="13"/>
  <c r="T179" i="13"/>
  <c r="S179" i="13"/>
  <c r="R179" i="13"/>
  <c r="Q179" i="13"/>
  <c r="P179" i="13"/>
  <c r="O179" i="13"/>
  <c r="T178" i="13"/>
  <c r="S178" i="13"/>
  <c r="R178" i="13"/>
  <c r="Q178" i="13"/>
  <c r="P178" i="13"/>
  <c r="O178" i="13"/>
  <c r="T177" i="13"/>
  <c r="S177" i="13"/>
  <c r="R177" i="13"/>
  <c r="Q177" i="13"/>
  <c r="P177" i="13"/>
  <c r="O177" i="13"/>
  <c r="T176" i="13"/>
  <c r="S176" i="13"/>
  <c r="R176" i="13"/>
  <c r="Q176" i="13"/>
  <c r="P176" i="13"/>
  <c r="O176" i="13"/>
  <c r="T175" i="13"/>
  <c r="S175" i="13"/>
  <c r="R175" i="13"/>
  <c r="Q175" i="13"/>
  <c r="P175" i="13"/>
  <c r="O175" i="13"/>
  <c r="T174" i="13"/>
  <c r="S174" i="13"/>
  <c r="R174" i="13"/>
  <c r="Q174" i="13"/>
  <c r="P174" i="13"/>
  <c r="O174" i="13"/>
  <c r="T173" i="13"/>
  <c r="S173" i="13"/>
  <c r="R173" i="13"/>
  <c r="Q173" i="13"/>
  <c r="P173" i="13"/>
  <c r="O173" i="13"/>
  <c r="T172" i="13"/>
  <c r="S172" i="13"/>
  <c r="R172" i="13"/>
  <c r="Q172" i="13"/>
  <c r="P172" i="13"/>
  <c r="O172" i="13"/>
  <c r="T171" i="13"/>
  <c r="S171" i="13"/>
  <c r="R171" i="13"/>
  <c r="Q171" i="13"/>
  <c r="P171" i="13"/>
  <c r="O171" i="13"/>
  <c r="S170" i="13"/>
  <c r="R170" i="13"/>
  <c r="Q170" i="13"/>
  <c r="P170" i="13"/>
  <c r="O170" i="13"/>
  <c r="T169" i="13"/>
  <c r="S169" i="13"/>
  <c r="R169" i="13"/>
  <c r="Q169" i="13"/>
  <c r="P169" i="13"/>
  <c r="O169" i="13"/>
  <c r="T168" i="13"/>
  <c r="S168" i="13"/>
  <c r="R168" i="13"/>
  <c r="Q168" i="13"/>
  <c r="P168" i="13"/>
  <c r="O168" i="13"/>
  <c r="T167" i="13"/>
  <c r="S167" i="13"/>
  <c r="R167" i="13"/>
  <c r="Q167" i="13"/>
  <c r="P167" i="13"/>
  <c r="O167" i="13"/>
  <c r="T166" i="13"/>
  <c r="S166" i="13"/>
  <c r="R166" i="13"/>
  <c r="Q166" i="13"/>
  <c r="P166" i="13"/>
  <c r="O166" i="13"/>
  <c r="S165" i="13"/>
  <c r="R165" i="13"/>
  <c r="Q165" i="13"/>
  <c r="P165" i="13"/>
  <c r="O165" i="13"/>
  <c r="T164" i="13"/>
  <c r="S164" i="13"/>
  <c r="R164" i="13"/>
  <c r="Q164" i="13"/>
  <c r="P164" i="13"/>
  <c r="O164" i="13"/>
  <c r="T163" i="13"/>
  <c r="S163" i="13"/>
  <c r="R163" i="13"/>
  <c r="Q163" i="13"/>
  <c r="P163" i="13"/>
  <c r="O163" i="13"/>
  <c r="T162" i="13"/>
  <c r="S162" i="13"/>
  <c r="R162" i="13"/>
  <c r="Q162" i="13"/>
  <c r="P162" i="13"/>
  <c r="O162" i="13"/>
  <c r="T161" i="13"/>
  <c r="S161" i="13"/>
  <c r="R161" i="13"/>
  <c r="Q161" i="13"/>
  <c r="P161" i="13"/>
  <c r="O161" i="13"/>
  <c r="S160" i="13"/>
  <c r="R160" i="13"/>
  <c r="Q160" i="13"/>
  <c r="P160" i="13"/>
  <c r="O160" i="13"/>
  <c r="T159" i="13"/>
  <c r="S159" i="13"/>
  <c r="R159" i="13"/>
  <c r="Q159" i="13"/>
  <c r="P159" i="13"/>
  <c r="O159" i="13"/>
  <c r="S158" i="13"/>
  <c r="R158" i="13"/>
  <c r="Q158" i="13"/>
  <c r="P158" i="13"/>
  <c r="O158" i="13"/>
  <c r="T157" i="13"/>
  <c r="S157" i="13"/>
  <c r="R157" i="13"/>
  <c r="Q157" i="13"/>
  <c r="P157" i="13"/>
  <c r="O157" i="13"/>
  <c r="S156" i="13"/>
  <c r="R156" i="13"/>
  <c r="Q156" i="13"/>
  <c r="P156" i="13"/>
  <c r="O156" i="13"/>
  <c r="T155" i="13"/>
  <c r="S155" i="13"/>
  <c r="R155" i="13"/>
  <c r="Q155" i="13"/>
  <c r="P155" i="13"/>
  <c r="O155" i="13"/>
  <c r="T154" i="13"/>
  <c r="S154" i="13"/>
  <c r="R154" i="13"/>
  <c r="Q154" i="13"/>
  <c r="P154" i="13"/>
  <c r="O154" i="13"/>
  <c r="S153" i="13"/>
  <c r="R153" i="13"/>
  <c r="Q153" i="13"/>
  <c r="P153" i="13"/>
  <c r="O153" i="13"/>
  <c r="S152" i="13"/>
  <c r="R152" i="13"/>
  <c r="Q152" i="13"/>
  <c r="P152" i="13"/>
  <c r="O152" i="13"/>
  <c r="T151" i="13"/>
  <c r="S151" i="13"/>
  <c r="R151" i="13"/>
  <c r="Q151" i="13"/>
  <c r="P151" i="13"/>
  <c r="O151" i="13"/>
  <c r="T150" i="13"/>
  <c r="S150" i="13"/>
  <c r="R150" i="13"/>
  <c r="Q150" i="13"/>
  <c r="P150" i="13"/>
  <c r="O150" i="13"/>
  <c r="S149" i="13"/>
  <c r="R149" i="13"/>
  <c r="Q149" i="13"/>
  <c r="P149" i="13"/>
  <c r="O149" i="13"/>
  <c r="T148" i="13"/>
  <c r="S148" i="13"/>
  <c r="R148" i="13"/>
  <c r="Q148" i="13"/>
  <c r="P148" i="13"/>
  <c r="O148" i="13"/>
  <c r="T147" i="13"/>
  <c r="S147" i="13"/>
  <c r="R147" i="13"/>
  <c r="Q147" i="13"/>
  <c r="P147" i="13"/>
  <c r="O147" i="13"/>
  <c r="T146" i="13"/>
  <c r="S146" i="13"/>
  <c r="R146" i="13"/>
  <c r="Q146" i="13"/>
  <c r="P146" i="13"/>
  <c r="O146" i="13"/>
  <c r="T145" i="13"/>
  <c r="S145" i="13"/>
  <c r="R145" i="13"/>
  <c r="Q145" i="13"/>
  <c r="P145" i="13"/>
  <c r="O145" i="13"/>
  <c r="T144" i="13"/>
  <c r="S144" i="13"/>
  <c r="R144" i="13"/>
  <c r="Q144" i="13"/>
  <c r="P144" i="13"/>
  <c r="O144" i="13"/>
  <c r="T143" i="13"/>
  <c r="S143" i="13"/>
  <c r="R143" i="13"/>
  <c r="Q143" i="13"/>
  <c r="P143" i="13"/>
  <c r="O143" i="13"/>
  <c r="T142" i="13"/>
  <c r="S142" i="13"/>
  <c r="R142" i="13"/>
  <c r="Q142" i="13"/>
  <c r="P142" i="13"/>
  <c r="O142" i="13"/>
  <c r="T141" i="13"/>
  <c r="S141" i="13"/>
  <c r="R141" i="13"/>
  <c r="Q141" i="13"/>
  <c r="P141" i="13"/>
  <c r="O141" i="13"/>
  <c r="T140" i="13"/>
  <c r="S140" i="13"/>
  <c r="R140" i="13"/>
  <c r="Q140" i="13"/>
  <c r="P140" i="13"/>
  <c r="O140" i="13"/>
  <c r="T139" i="13"/>
  <c r="S139" i="13"/>
  <c r="R139" i="13"/>
  <c r="Q139" i="13"/>
  <c r="P139" i="13"/>
  <c r="O139" i="13"/>
  <c r="S138" i="13"/>
  <c r="R138" i="13"/>
  <c r="Q138" i="13"/>
  <c r="P138" i="13"/>
  <c r="O138" i="13"/>
  <c r="T137" i="13"/>
  <c r="S137" i="13"/>
  <c r="R137" i="13"/>
  <c r="Q137" i="13"/>
  <c r="P137" i="13"/>
  <c r="O137" i="13"/>
  <c r="S136" i="13"/>
  <c r="R136" i="13"/>
  <c r="Q136" i="13"/>
  <c r="P136" i="13"/>
  <c r="O136" i="13"/>
  <c r="S135" i="13"/>
  <c r="R135" i="13"/>
  <c r="Q135" i="13"/>
  <c r="P135" i="13"/>
  <c r="O135" i="13"/>
  <c r="T134" i="13"/>
  <c r="S134" i="13"/>
  <c r="R134" i="13"/>
  <c r="Q134" i="13"/>
  <c r="P134" i="13"/>
  <c r="O134" i="13"/>
  <c r="T133" i="13"/>
  <c r="S133" i="13"/>
  <c r="R133" i="13"/>
  <c r="Q133" i="13"/>
  <c r="P133" i="13"/>
  <c r="O133" i="13"/>
  <c r="T132" i="13"/>
  <c r="S132" i="13"/>
  <c r="R132" i="13"/>
  <c r="Q132" i="13"/>
  <c r="P132" i="13"/>
  <c r="O132" i="13"/>
  <c r="T131" i="13"/>
  <c r="S131" i="13"/>
  <c r="R131" i="13"/>
  <c r="Q131" i="13"/>
  <c r="P131" i="13"/>
  <c r="O131" i="13"/>
  <c r="S130" i="13"/>
  <c r="R130" i="13"/>
  <c r="Q130" i="13"/>
  <c r="P130" i="13"/>
  <c r="O130" i="13"/>
  <c r="S129" i="13"/>
  <c r="R129" i="13"/>
  <c r="Q129" i="13"/>
  <c r="P129" i="13"/>
  <c r="O129" i="13"/>
  <c r="S128" i="13"/>
  <c r="R128" i="13"/>
  <c r="Q128" i="13"/>
  <c r="P128" i="13"/>
  <c r="O128" i="13"/>
  <c r="T127" i="13"/>
  <c r="S127" i="13"/>
  <c r="R127" i="13"/>
  <c r="Q127" i="13"/>
  <c r="P127" i="13"/>
  <c r="O127" i="13"/>
  <c r="T126" i="13"/>
  <c r="S126" i="13"/>
  <c r="R126" i="13"/>
  <c r="Q126" i="13"/>
  <c r="P126" i="13"/>
  <c r="O126" i="13"/>
  <c r="S125" i="13"/>
  <c r="R125" i="13"/>
  <c r="Q125" i="13"/>
  <c r="P125" i="13"/>
  <c r="O125" i="13"/>
  <c r="T124" i="13"/>
  <c r="S124" i="13"/>
  <c r="R124" i="13"/>
  <c r="Q124" i="13"/>
  <c r="P124" i="13"/>
  <c r="O124" i="13"/>
  <c r="T123" i="13"/>
  <c r="S123" i="13"/>
  <c r="R123" i="13"/>
  <c r="Q123" i="13"/>
  <c r="P123" i="13"/>
  <c r="O123" i="13"/>
  <c r="T122" i="13"/>
  <c r="S122" i="13"/>
  <c r="R122" i="13"/>
  <c r="Q122" i="13"/>
  <c r="P122" i="13"/>
  <c r="O122" i="13"/>
  <c r="T121" i="13"/>
  <c r="S121" i="13"/>
  <c r="R121" i="13"/>
  <c r="Q121" i="13"/>
  <c r="P121" i="13"/>
  <c r="O121" i="13"/>
  <c r="T120" i="13"/>
  <c r="S120" i="13"/>
  <c r="R120" i="13"/>
  <c r="Q120" i="13"/>
  <c r="P120" i="13"/>
  <c r="O120" i="13"/>
  <c r="T119" i="13"/>
  <c r="S119" i="13"/>
  <c r="R119" i="13"/>
  <c r="Q119" i="13"/>
  <c r="P119" i="13"/>
  <c r="O119" i="13"/>
  <c r="S118" i="13"/>
  <c r="R118" i="13"/>
  <c r="Q118" i="13"/>
  <c r="P118" i="13"/>
  <c r="O118" i="13"/>
  <c r="S117" i="13"/>
  <c r="R117" i="13"/>
  <c r="Q117" i="13"/>
  <c r="P117" i="13"/>
  <c r="O117" i="13"/>
  <c r="T116" i="13"/>
  <c r="S116" i="13"/>
  <c r="R116" i="13"/>
  <c r="Q116" i="13"/>
  <c r="P116" i="13"/>
  <c r="O116" i="13"/>
  <c r="T115" i="13"/>
  <c r="S115" i="13"/>
  <c r="R115" i="13"/>
  <c r="Q115" i="13"/>
  <c r="P115" i="13"/>
  <c r="O115" i="13"/>
  <c r="T114" i="13"/>
  <c r="S114" i="13"/>
  <c r="R114" i="13"/>
  <c r="Q114" i="13"/>
  <c r="P114" i="13"/>
  <c r="O114" i="13"/>
  <c r="T113" i="13"/>
  <c r="S113" i="13"/>
  <c r="R113" i="13"/>
  <c r="Q113" i="13"/>
  <c r="P113" i="13"/>
  <c r="O113" i="13"/>
  <c r="T112" i="13"/>
  <c r="S112" i="13"/>
  <c r="R112" i="13"/>
  <c r="Q112" i="13"/>
  <c r="P112" i="13"/>
  <c r="O112" i="13"/>
  <c r="T111" i="13"/>
  <c r="S111" i="13"/>
  <c r="R111" i="13"/>
  <c r="Q111" i="13"/>
  <c r="P111" i="13"/>
  <c r="O111" i="13"/>
  <c r="T110" i="13"/>
  <c r="S110" i="13"/>
  <c r="R110" i="13"/>
  <c r="Q110" i="13"/>
  <c r="P110" i="13"/>
  <c r="O110" i="13"/>
  <c r="T109" i="13"/>
  <c r="S109" i="13"/>
  <c r="R109" i="13"/>
  <c r="Q109" i="13"/>
  <c r="P109" i="13"/>
  <c r="O109" i="13"/>
  <c r="T108" i="13"/>
  <c r="S108" i="13"/>
  <c r="R108" i="13"/>
  <c r="Q108" i="13"/>
  <c r="P108" i="13"/>
  <c r="O108" i="13"/>
  <c r="T107" i="13"/>
  <c r="S107" i="13"/>
  <c r="R107" i="13"/>
  <c r="Q107" i="13"/>
  <c r="P107" i="13"/>
  <c r="O107" i="13"/>
  <c r="T106" i="13"/>
  <c r="S106" i="13"/>
  <c r="R106" i="13"/>
  <c r="Q106" i="13"/>
  <c r="P106" i="13"/>
  <c r="O106" i="13"/>
  <c r="S105" i="13"/>
  <c r="R105" i="13"/>
  <c r="Q105" i="13"/>
  <c r="P105" i="13"/>
  <c r="O105" i="13"/>
  <c r="T104" i="13"/>
  <c r="S104" i="13"/>
  <c r="R104" i="13"/>
  <c r="Q104" i="13"/>
  <c r="P104" i="13"/>
  <c r="O104" i="13"/>
  <c r="T103" i="13"/>
  <c r="S103" i="13"/>
  <c r="R103" i="13"/>
  <c r="Q103" i="13"/>
  <c r="P103" i="13"/>
  <c r="O103" i="13"/>
  <c r="S102" i="13"/>
  <c r="R102" i="13"/>
  <c r="Q102" i="13"/>
  <c r="P102" i="13"/>
  <c r="O102" i="13"/>
  <c r="T101" i="13"/>
  <c r="S101" i="13"/>
  <c r="R101" i="13"/>
  <c r="Q101" i="13"/>
  <c r="P101" i="13"/>
  <c r="O101" i="13"/>
  <c r="T100" i="13"/>
  <c r="S100" i="13"/>
  <c r="R100" i="13"/>
  <c r="Q100" i="13"/>
  <c r="P100" i="13"/>
  <c r="O100" i="13"/>
  <c r="T99" i="13"/>
  <c r="S99" i="13"/>
  <c r="R99" i="13"/>
  <c r="Q99" i="13"/>
  <c r="P99" i="13"/>
  <c r="O99" i="13"/>
  <c r="T98" i="13"/>
  <c r="S98" i="13"/>
  <c r="R98" i="13"/>
  <c r="Q98" i="13"/>
  <c r="P98" i="13"/>
  <c r="O98" i="13"/>
  <c r="T97" i="13"/>
  <c r="S97" i="13"/>
  <c r="R97" i="13"/>
  <c r="Q97" i="13"/>
  <c r="P97" i="13"/>
  <c r="O97" i="13"/>
  <c r="T96" i="13"/>
  <c r="S96" i="13"/>
  <c r="R96" i="13"/>
  <c r="Q96" i="13"/>
  <c r="P96" i="13"/>
  <c r="O96" i="13"/>
  <c r="S95" i="13"/>
  <c r="R95" i="13"/>
  <c r="Q95" i="13"/>
  <c r="P95" i="13"/>
  <c r="O95" i="13"/>
  <c r="T94" i="13"/>
  <c r="S94" i="13"/>
  <c r="R94" i="13"/>
  <c r="Q94" i="13"/>
  <c r="P94" i="13"/>
  <c r="O94" i="13"/>
  <c r="T93" i="13"/>
  <c r="S93" i="13"/>
  <c r="R93" i="13"/>
  <c r="Q93" i="13"/>
  <c r="P93" i="13"/>
  <c r="O93" i="13"/>
  <c r="T92" i="13"/>
  <c r="S92" i="13"/>
  <c r="R92" i="13"/>
  <c r="Q92" i="13"/>
  <c r="P92" i="13"/>
  <c r="O92" i="13"/>
  <c r="T91" i="13"/>
  <c r="S91" i="13"/>
  <c r="R91" i="13"/>
  <c r="Q91" i="13"/>
  <c r="P91" i="13"/>
  <c r="O91" i="13"/>
  <c r="S90" i="13"/>
  <c r="R90" i="13"/>
  <c r="Q90" i="13"/>
  <c r="P90" i="13"/>
  <c r="O90" i="13"/>
  <c r="T89" i="13"/>
  <c r="S89" i="13"/>
  <c r="R89" i="13"/>
  <c r="Q89" i="13"/>
  <c r="P89" i="13"/>
  <c r="O89" i="13"/>
  <c r="T88" i="13"/>
  <c r="S88" i="13"/>
  <c r="R88" i="13"/>
  <c r="Q88" i="13"/>
  <c r="P88" i="13"/>
  <c r="O88" i="13"/>
  <c r="T87" i="13"/>
  <c r="S87" i="13"/>
  <c r="R87" i="13"/>
  <c r="Q87" i="13"/>
  <c r="P87" i="13"/>
  <c r="O87" i="13"/>
  <c r="T86" i="13"/>
  <c r="S86" i="13"/>
  <c r="R86" i="13"/>
  <c r="Q86" i="13"/>
  <c r="P86" i="13"/>
  <c r="O86" i="13"/>
  <c r="T85" i="13"/>
  <c r="S85" i="13"/>
  <c r="R85" i="13"/>
  <c r="Q85" i="13"/>
  <c r="P85" i="13"/>
  <c r="O85" i="13"/>
  <c r="S84" i="13"/>
  <c r="R84" i="13"/>
  <c r="Q84" i="13"/>
  <c r="P84" i="13"/>
  <c r="O84" i="13"/>
  <c r="S83" i="13"/>
  <c r="R83" i="13"/>
  <c r="Q83" i="13"/>
  <c r="P83" i="13"/>
  <c r="O83" i="13"/>
  <c r="T82" i="13"/>
  <c r="S82" i="13"/>
  <c r="R82" i="13"/>
  <c r="Q82" i="13"/>
  <c r="P82" i="13"/>
  <c r="O82" i="13"/>
  <c r="T81" i="13"/>
  <c r="S81" i="13"/>
  <c r="R81" i="13"/>
  <c r="Q81" i="13"/>
  <c r="P81" i="13"/>
  <c r="O81" i="13"/>
  <c r="T80" i="13"/>
  <c r="S80" i="13"/>
  <c r="R80" i="13"/>
  <c r="Q80" i="13"/>
  <c r="P80" i="13"/>
  <c r="O80" i="13"/>
  <c r="T79" i="13"/>
  <c r="S79" i="13"/>
  <c r="R79" i="13"/>
  <c r="Q79" i="13"/>
  <c r="P79" i="13"/>
  <c r="O79" i="13"/>
  <c r="T78" i="13"/>
  <c r="S78" i="13"/>
  <c r="R78" i="13"/>
  <c r="Q78" i="13"/>
  <c r="P78" i="13"/>
  <c r="O78" i="13"/>
  <c r="T77" i="13"/>
  <c r="S77" i="13"/>
  <c r="R77" i="13"/>
  <c r="Q77" i="13"/>
  <c r="P77" i="13"/>
  <c r="O77" i="13"/>
  <c r="S76" i="13"/>
  <c r="R76" i="13"/>
  <c r="Q76" i="13"/>
  <c r="P76" i="13"/>
  <c r="O76" i="13"/>
  <c r="T75" i="13"/>
  <c r="S75" i="13"/>
  <c r="R75" i="13"/>
  <c r="Q75" i="13"/>
  <c r="P75" i="13"/>
  <c r="O75" i="13"/>
  <c r="T74" i="13"/>
  <c r="S74" i="13"/>
  <c r="R74" i="13"/>
  <c r="Q74" i="13"/>
  <c r="P74" i="13"/>
  <c r="O74" i="13"/>
  <c r="T73" i="13"/>
  <c r="S73" i="13"/>
  <c r="R73" i="13"/>
  <c r="Q73" i="13"/>
  <c r="P73" i="13"/>
  <c r="O73" i="13"/>
  <c r="T72" i="13"/>
  <c r="S72" i="13"/>
  <c r="R72" i="13"/>
  <c r="Q72" i="13"/>
  <c r="P72" i="13"/>
  <c r="O72" i="13"/>
  <c r="T71" i="13"/>
  <c r="S71" i="13"/>
  <c r="R71" i="13"/>
  <c r="Q71" i="13"/>
  <c r="P71" i="13"/>
  <c r="O71" i="13"/>
  <c r="T70" i="13"/>
  <c r="S70" i="13"/>
  <c r="R70" i="13"/>
  <c r="Q70" i="13"/>
  <c r="P70" i="13"/>
  <c r="O70" i="13"/>
  <c r="T69" i="13"/>
  <c r="S69" i="13"/>
  <c r="R69" i="13"/>
  <c r="Q69" i="13"/>
  <c r="P69" i="13"/>
  <c r="O69" i="13"/>
  <c r="T68" i="13"/>
  <c r="S68" i="13"/>
  <c r="R68" i="13"/>
  <c r="Q68" i="13"/>
  <c r="P68" i="13"/>
  <c r="O68" i="13"/>
  <c r="T67" i="13"/>
  <c r="S67" i="13"/>
  <c r="R67" i="13"/>
  <c r="Q67" i="13"/>
  <c r="P67" i="13"/>
  <c r="O67" i="13"/>
  <c r="S66" i="13"/>
  <c r="R66" i="13"/>
  <c r="Q66" i="13"/>
  <c r="P66" i="13"/>
  <c r="O66" i="13"/>
  <c r="T65" i="13"/>
  <c r="S65" i="13"/>
  <c r="R65" i="13"/>
  <c r="Q65" i="13"/>
  <c r="P65" i="13"/>
  <c r="O65" i="13"/>
  <c r="T64" i="13"/>
  <c r="S64" i="13"/>
  <c r="R64" i="13"/>
  <c r="Q64" i="13"/>
  <c r="P64" i="13"/>
  <c r="O64" i="13"/>
  <c r="T63" i="13"/>
  <c r="S63" i="13"/>
  <c r="R63" i="13"/>
  <c r="Q63" i="13"/>
  <c r="P63" i="13"/>
  <c r="O63" i="13"/>
  <c r="T62" i="13"/>
  <c r="S62" i="13"/>
  <c r="R62" i="13"/>
  <c r="Q62" i="13"/>
  <c r="P62" i="13"/>
  <c r="O62" i="13"/>
  <c r="T61" i="13"/>
  <c r="S61" i="13"/>
  <c r="R61" i="13"/>
  <c r="Q61" i="13"/>
  <c r="P61" i="13"/>
  <c r="O61" i="13"/>
  <c r="T60" i="13"/>
  <c r="S60" i="13"/>
  <c r="R60" i="13"/>
  <c r="Q60" i="13"/>
  <c r="P60" i="13"/>
  <c r="O60" i="13"/>
  <c r="S59" i="13"/>
  <c r="R59" i="13"/>
  <c r="Q59" i="13"/>
  <c r="P59" i="13"/>
  <c r="O59" i="13"/>
  <c r="S58" i="13"/>
  <c r="R58" i="13"/>
  <c r="Q58" i="13"/>
  <c r="P58" i="13"/>
  <c r="O58" i="13"/>
  <c r="T57" i="13"/>
  <c r="S57" i="13"/>
  <c r="R57" i="13"/>
  <c r="Q57" i="13"/>
  <c r="P57" i="13"/>
  <c r="O57" i="13"/>
  <c r="T56" i="13"/>
  <c r="S56" i="13"/>
  <c r="R56" i="13"/>
  <c r="Q56" i="13"/>
  <c r="P56" i="13"/>
  <c r="O56" i="13"/>
  <c r="T55" i="13"/>
  <c r="S55" i="13"/>
  <c r="R55" i="13"/>
  <c r="Q55" i="13"/>
  <c r="P55" i="13"/>
  <c r="O55" i="13"/>
  <c r="T54" i="13"/>
  <c r="S54" i="13"/>
  <c r="R54" i="13"/>
  <c r="Q54" i="13"/>
  <c r="P54" i="13"/>
  <c r="O54" i="13"/>
  <c r="T53" i="13"/>
  <c r="S53" i="13"/>
  <c r="R53" i="13"/>
  <c r="Q53" i="13"/>
  <c r="P53" i="13"/>
  <c r="O53" i="13"/>
  <c r="S52" i="13"/>
  <c r="R52" i="13"/>
  <c r="Q52" i="13"/>
  <c r="P52" i="13"/>
  <c r="O52" i="13"/>
  <c r="S51" i="13"/>
  <c r="R51" i="13"/>
  <c r="Q51" i="13"/>
  <c r="P51" i="13"/>
  <c r="O51" i="13"/>
  <c r="T50" i="13"/>
  <c r="S50" i="13"/>
  <c r="R50" i="13"/>
  <c r="Q50" i="13"/>
  <c r="P50" i="13"/>
  <c r="O50" i="13"/>
  <c r="T49" i="13"/>
  <c r="S49" i="13"/>
  <c r="R49" i="13"/>
  <c r="Q49" i="13"/>
  <c r="P49" i="13"/>
  <c r="O49" i="13"/>
  <c r="T48" i="13"/>
  <c r="S48" i="13"/>
  <c r="R48" i="13"/>
  <c r="Q48" i="13"/>
  <c r="P48" i="13"/>
  <c r="O48" i="13"/>
  <c r="T47" i="13"/>
  <c r="S47" i="13"/>
  <c r="R47" i="13"/>
  <c r="Q47" i="13"/>
  <c r="P47" i="13"/>
  <c r="O47" i="13"/>
  <c r="T46" i="13"/>
  <c r="S46" i="13"/>
  <c r="R46" i="13"/>
  <c r="Q46" i="13"/>
  <c r="P46" i="13"/>
  <c r="O46" i="13"/>
  <c r="S45" i="13"/>
  <c r="R45" i="13"/>
  <c r="Q45" i="13"/>
  <c r="P45" i="13"/>
  <c r="O45" i="13"/>
  <c r="T44" i="13"/>
  <c r="S44" i="13"/>
  <c r="R44" i="13"/>
  <c r="Q44" i="13"/>
  <c r="P44" i="13"/>
  <c r="O44" i="13"/>
  <c r="T43" i="13"/>
  <c r="S43" i="13"/>
  <c r="R43" i="13"/>
  <c r="Q43" i="13"/>
  <c r="P43" i="13"/>
  <c r="O43" i="13"/>
  <c r="T42" i="13"/>
  <c r="S42" i="13"/>
  <c r="R42" i="13"/>
  <c r="Q42" i="13"/>
  <c r="P42" i="13"/>
  <c r="O42" i="13"/>
  <c r="T41" i="13"/>
  <c r="S41" i="13"/>
  <c r="R41" i="13"/>
  <c r="Q41" i="13"/>
  <c r="P41" i="13"/>
  <c r="O41" i="13"/>
  <c r="T40" i="13"/>
  <c r="S40" i="13"/>
  <c r="R40" i="13"/>
  <c r="Q40" i="13"/>
  <c r="P40" i="13"/>
  <c r="O40" i="13"/>
  <c r="S39" i="13"/>
  <c r="R39" i="13"/>
  <c r="Q39" i="13"/>
  <c r="P39" i="13"/>
  <c r="O39" i="13"/>
  <c r="T38" i="13"/>
  <c r="S38" i="13"/>
  <c r="R38" i="13"/>
  <c r="Q38" i="13"/>
  <c r="P38" i="13"/>
  <c r="O38" i="13"/>
  <c r="T37" i="13"/>
  <c r="S37" i="13"/>
  <c r="R37" i="13"/>
  <c r="Q37" i="13"/>
  <c r="P37" i="13"/>
  <c r="O37" i="13"/>
  <c r="T36" i="13"/>
  <c r="S36" i="13"/>
  <c r="R36" i="13"/>
  <c r="Q36" i="13"/>
  <c r="P36" i="13"/>
  <c r="O36" i="13"/>
  <c r="T35" i="13"/>
  <c r="S35" i="13"/>
  <c r="R35" i="13"/>
  <c r="Q35" i="13"/>
  <c r="P35" i="13"/>
  <c r="O35" i="13"/>
  <c r="T34" i="13"/>
  <c r="S34" i="13"/>
  <c r="R34" i="13"/>
  <c r="Q34" i="13"/>
  <c r="P34" i="13"/>
  <c r="O34" i="13"/>
  <c r="T33" i="13"/>
  <c r="S33" i="13"/>
  <c r="R33" i="13"/>
  <c r="Q33" i="13"/>
  <c r="P33" i="13"/>
  <c r="O33" i="13"/>
  <c r="T32" i="13"/>
  <c r="S32" i="13"/>
  <c r="R32" i="13"/>
  <c r="Q32" i="13"/>
  <c r="P32" i="13"/>
  <c r="O32" i="13"/>
  <c r="T31" i="13"/>
  <c r="S31" i="13"/>
  <c r="R31" i="13"/>
  <c r="Q31" i="13"/>
  <c r="P31" i="13"/>
  <c r="O31" i="13"/>
  <c r="T30" i="13"/>
  <c r="S30" i="13"/>
  <c r="R30" i="13"/>
  <c r="Q30" i="13"/>
  <c r="P30" i="13"/>
  <c r="O30" i="13"/>
  <c r="T29" i="13"/>
  <c r="S29" i="13"/>
  <c r="R29" i="13"/>
  <c r="Q29" i="13"/>
  <c r="P29" i="13"/>
  <c r="O29" i="13"/>
  <c r="T28" i="13"/>
  <c r="S28" i="13"/>
  <c r="R28" i="13"/>
  <c r="Q28" i="13"/>
  <c r="P28" i="13"/>
  <c r="O28" i="13"/>
  <c r="T27" i="13"/>
  <c r="S27" i="13"/>
  <c r="R27" i="13"/>
  <c r="Q27" i="13"/>
  <c r="P27" i="13"/>
  <c r="O27" i="13"/>
  <c r="S26" i="13"/>
  <c r="R26" i="13"/>
  <c r="Q26" i="13"/>
  <c r="P26" i="13"/>
  <c r="O26" i="13"/>
  <c r="T25" i="13"/>
  <c r="S25" i="13"/>
  <c r="R25" i="13"/>
  <c r="Q25" i="13"/>
  <c r="P25" i="13"/>
  <c r="O25" i="13"/>
  <c r="T24" i="13"/>
  <c r="S24" i="13"/>
  <c r="R24" i="13"/>
  <c r="Q24" i="13"/>
  <c r="P24" i="13"/>
  <c r="O24" i="13"/>
  <c r="S23" i="13"/>
  <c r="R23" i="13"/>
  <c r="Q23" i="13"/>
  <c r="P23" i="13"/>
  <c r="O23" i="13"/>
  <c r="S22" i="13"/>
  <c r="R22" i="13"/>
  <c r="Q22" i="13"/>
  <c r="P22" i="13"/>
  <c r="O22" i="13"/>
  <c r="T21" i="13"/>
  <c r="S21" i="13"/>
  <c r="R21" i="13"/>
  <c r="Q21" i="13"/>
  <c r="P21" i="13"/>
  <c r="O21" i="13"/>
  <c r="S20" i="13"/>
  <c r="R20" i="13"/>
  <c r="Q20" i="13"/>
  <c r="P20" i="13"/>
  <c r="O20" i="13"/>
  <c r="S19" i="13"/>
  <c r="R19" i="13"/>
  <c r="Q19" i="13"/>
  <c r="P19" i="13"/>
  <c r="O19" i="13"/>
  <c r="T18" i="13"/>
  <c r="S18" i="13"/>
  <c r="R18" i="13"/>
  <c r="Q18" i="13"/>
  <c r="P18" i="13"/>
  <c r="O18" i="13"/>
  <c r="T17" i="13"/>
  <c r="S17" i="13"/>
  <c r="R17" i="13"/>
  <c r="Q17" i="13"/>
  <c r="P17" i="13"/>
  <c r="O17" i="13"/>
  <c r="S16" i="13"/>
  <c r="R16" i="13"/>
  <c r="Q16" i="13"/>
  <c r="P16" i="13"/>
  <c r="O16" i="13"/>
  <c r="T15" i="13"/>
  <c r="S15" i="13"/>
  <c r="R15" i="13"/>
  <c r="Q15" i="13"/>
  <c r="P15" i="13"/>
  <c r="O15" i="13"/>
  <c r="T14" i="13"/>
  <c r="S14" i="13"/>
  <c r="R14" i="13"/>
  <c r="Q14" i="13"/>
  <c r="P14" i="13"/>
  <c r="O14" i="13"/>
  <c r="T13" i="13"/>
  <c r="S13" i="13"/>
  <c r="R13" i="13"/>
  <c r="Q13" i="13"/>
  <c r="P13" i="13"/>
  <c r="O13" i="13"/>
  <c r="T12" i="13"/>
  <c r="S12" i="13"/>
  <c r="R12" i="13"/>
  <c r="Q12" i="13"/>
  <c r="P12" i="13"/>
  <c r="O12" i="13"/>
  <c r="T11" i="13"/>
  <c r="S11" i="13"/>
  <c r="R11" i="13"/>
  <c r="Q11" i="13"/>
  <c r="P11" i="13"/>
  <c r="O11" i="13"/>
  <c r="S10" i="13"/>
  <c r="R10" i="13"/>
  <c r="Q10" i="13"/>
  <c r="P10" i="13"/>
  <c r="O10" i="13"/>
  <c r="T9" i="13"/>
  <c r="S9" i="13"/>
  <c r="R9" i="13"/>
  <c r="Q9" i="13"/>
  <c r="P9" i="13"/>
  <c r="O9" i="13"/>
  <c r="T8" i="13"/>
  <c r="S8" i="13"/>
  <c r="R8" i="13"/>
  <c r="Q8" i="13"/>
  <c r="P8" i="13"/>
  <c r="O8" i="13"/>
  <c r="T7" i="13"/>
  <c r="S7" i="13"/>
  <c r="R7" i="13"/>
  <c r="Q7" i="13"/>
  <c r="P7" i="13"/>
  <c r="O7" i="13"/>
  <c r="T6" i="13"/>
  <c r="S6" i="13"/>
  <c r="R6" i="13"/>
  <c r="Q6" i="13"/>
  <c r="P6" i="13"/>
  <c r="O6" i="13"/>
  <c r="T5" i="13"/>
  <c r="S5" i="13"/>
  <c r="R5" i="13"/>
  <c r="Q5" i="13"/>
  <c r="P5" i="13"/>
  <c r="O5" i="13"/>
  <c r="T4" i="13"/>
  <c r="S4" i="13"/>
  <c r="R4" i="13"/>
  <c r="Q4" i="13"/>
  <c r="P4" i="13"/>
  <c r="O4" i="13"/>
  <c r="T3" i="13"/>
  <c r="S3" i="13"/>
  <c r="R3" i="13"/>
  <c r="Q3" i="13"/>
  <c r="P3" i="13"/>
  <c r="O3" i="13"/>
  <c r="T2" i="13"/>
  <c r="S2" i="13"/>
  <c r="R2" i="13"/>
  <c r="Q2" i="13"/>
  <c r="P2" i="13"/>
  <c r="O2" i="13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A90" i="12"/>
  <c r="B89" i="12"/>
  <c r="A89" i="12"/>
  <c r="A88" i="12"/>
  <c r="C69" i="12"/>
  <c r="B69" i="12"/>
  <c r="C68" i="12"/>
  <c r="B68" i="12"/>
  <c r="C67" i="12"/>
  <c r="B67" i="12"/>
  <c r="C66" i="12"/>
  <c r="B66" i="12"/>
  <c r="C65" i="12"/>
  <c r="B65" i="12"/>
  <c r="C64" i="12"/>
  <c r="B64" i="12"/>
  <c r="C63" i="12"/>
  <c r="B63" i="12"/>
  <c r="A58" i="12"/>
  <c r="C57" i="12"/>
  <c r="B57" i="12"/>
  <c r="A57" i="12"/>
  <c r="C56" i="12"/>
  <c r="A56" i="12"/>
  <c r="D55" i="12"/>
  <c r="C55" i="12"/>
  <c r="A55" i="12"/>
  <c r="A54" i="12"/>
  <c r="E53" i="12"/>
  <c r="E56" i="12" s="1"/>
  <c r="D53" i="12"/>
  <c r="D56" i="12" s="1"/>
  <c r="C53" i="12"/>
  <c r="B53" i="12"/>
  <c r="B55" i="12" s="1"/>
  <c r="A49" i="12"/>
  <c r="A48" i="12"/>
  <c r="A47" i="12"/>
  <c r="A46" i="12"/>
  <c r="A45" i="12"/>
  <c r="C39" i="12"/>
  <c r="A39" i="12"/>
  <c r="D39" i="12" s="1"/>
  <c r="A38" i="12"/>
  <c r="D37" i="12"/>
  <c r="C37" i="12"/>
  <c r="A37" i="12"/>
  <c r="C36" i="12"/>
  <c r="A36" i="12"/>
  <c r="A35" i="12"/>
  <c r="D34" i="12"/>
  <c r="C34" i="12"/>
  <c r="B34" i="12"/>
  <c r="B37" i="12" s="1"/>
  <c r="H31" i="12"/>
  <c r="H30" i="12"/>
  <c r="I29" i="12"/>
  <c r="H29" i="12"/>
  <c r="H28" i="12"/>
  <c r="H27" i="12"/>
  <c r="H26" i="12"/>
  <c r="H25" i="12"/>
  <c r="H24" i="12"/>
  <c r="H23" i="12"/>
  <c r="H22" i="12"/>
  <c r="C20" i="11"/>
  <c r="B20" i="11"/>
  <c r="G19" i="11"/>
  <c r="E19" i="11"/>
  <c r="C19" i="11"/>
  <c r="B19" i="11"/>
  <c r="D19" i="11" s="1"/>
  <c r="C18" i="11"/>
  <c r="B18" i="11"/>
  <c r="C14" i="11"/>
  <c r="B14" i="11"/>
  <c r="F19" i="11" s="1"/>
  <c r="E13" i="11"/>
  <c r="F13" i="11" s="1"/>
  <c r="D13" i="11"/>
  <c r="C13" i="11"/>
  <c r="C15" i="11" s="1"/>
  <c r="B10" i="11"/>
  <c r="B9" i="11"/>
  <c r="B8" i="11"/>
  <c r="B7" i="11"/>
  <c r="B6" i="11" s="1"/>
  <c r="B46" i="10"/>
  <c r="B35" i="10"/>
  <c r="E22" i="10"/>
  <c r="D22" i="10"/>
  <c r="B22" i="10"/>
  <c r="C21" i="10"/>
  <c r="E16" i="10"/>
  <c r="E15" i="10"/>
  <c r="E14" i="10"/>
  <c r="B6" i="10"/>
  <c r="B5" i="10"/>
  <c r="C22" i="10" s="1"/>
  <c r="B4" i="10"/>
  <c r="B48" i="8"/>
  <c r="B47" i="8"/>
  <c r="B46" i="8"/>
  <c r="B45" i="8"/>
  <c r="B44" i="8"/>
  <c r="B9" i="8"/>
  <c r="B8" i="8"/>
  <c r="B12" i="8" s="1"/>
  <c r="B6" i="8"/>
  <c r="B5" i="8"/>
  <c r="B18" i="8" s="1"/>
  <c r="K36" i="7"/>
  <c r="J36" i="7"/>
  <c r="I36" i="7"/>
  <c r="H36" i="7"/>
  <c r="K35" i="7"/>
  <c r="J35" i="7"/>
  <c r="I35" i="7"/>
  <c r="H35" i="7"/>
  <c r="K34" i="7"/>
  <c r="J34" i="7"/>
  <c r="I34" i="7"/>
  <c r="H34" i="7"/>
  <c r="K33" i="7"/>
  <c r="J33" i="7"/>
  <c r="I33" i="7"/>
  <c r="H33" i="7"/>
  <c r="K32" i="7"/>
  <c r="J32" i="7"/>
  <c r="I32" i="7"/>
  <c r="H32" i="7"/>
  <c r="K31" i="7"/>
  <c r="J31" i="7"/>
  <c r="I31" i="7"/>
  <c r="H31" i="7"/>
  <c r="K30" i="7"/>
  <c r="J30" i="7"/>
  <c r="I30" i="7"/>
  <c r="H30" i="7"/>
  <c r="K29" i="7"/>
  <c r="J29" i="7"/>
  <c r="I29" i="7"/>
  <c r="H29" i="7"/>
  <c r="K28" i="7"/>
  <c r="J28" i="7"/>
  <c r="I28" i="7"/>
  <c r="H28" i="7"/>
  <c r="K27" i="7"/>
  <c r="J27" i="7"/>
  <c r="I27" i="7"/>
  <c r="H27" i="7"/>
  <c r="H23" i="7"/>
  <c r="I23" i="7" s="1"/>
  <c r="I22" i="7"/>
  <c r="H22" i="7"/>
  <c r="B22" i="7"/>
  <c r="H21" i="7"/>
  <c r="I21" i="7" s="1"/>
  <c r="I20" i="7"/>
  <c r="H20" i="7"/>
  <c r="H19" i="7"/>
  <c r="I19" i="7" s="1"/>
  <c r="J15" i="7"/>
  <c r="I15" i="7"/>
  <c r="H15" i="7"/>
  <c r="D15" i="7"/>
  <c r="C15" i="7"/>
  <c r="B15" i="7"/>
  <c r="A15" i="7"/>
  <c r="H14" i="7"/>
  <c r="A14" i="7"/>
  <c r="I13" i="7"/>
  <c r="H13" i="7"/>
  <c r="A13" i="7"/>
  <c r="J12" i="7"/>
  <c r="I12" i="7"/>
  <c r="H12" i="7"/>
  <c r="C12" i="7"/>
  <c r="B12" i="7"/>
  <c r="A12" i="7"/>
  <c r="D12" i="7" s="1"/>
  <c r="H11" i="7"/>
  <c r="A11" i="7"/>
  <c r="H10" i="7"/>
  <c r="D10" i="7"/>
  <c r="C10" i="7"/>
  <c r="B10" i="7"/>
  <c r="A10" i="7"/>
  <c r="H9" i="7"/>
  <c r="B9" i="7"/>
  <c r="A9" i="7"/>
  <c r="C9" i="7" s="1"/>
  <c r="H8" i="7"/>
  <c r="C8" i="7"/>
  <c r="B8" i="7"/>
  <c r="A8" i="7"/>
  <c r="D8" i="7" s="1"/>
  <c r="H7" i="7"/>
  <c r="A7" i="7"/>
  <c r="H6" i="7"/>
  <c r="D6" i="7"/>
  <c r="C6" i="7"/>
  <c r="B6" i="7"/>
  <c r="A6" i="7"/>
  <c r="W72" i="6"/>
  <c r="S72" i="6"/>
  <c r="Q72" i="6"/>
  <c r="M72" i="6"/>
  <c r="L72" i="6"/>
  <c r="K72" i="6"/>
  <c r="J72" i="6"/>
  <c r="I72" i="6"/>
  <c r="G72" i="6"/>
  <c r="F72" i="6"/>
  <c r="E72" i="6"/>
  <c r="D72" i="6"/>
  <c r="C72" i="6"/>
  <c r="B72" i="6"/>
  <c r="W71" i="6"/>
  <c r="T71" i="6"/>
  <c r="S71" i="6"/>
  <c r="Q71" i="6"/>
  <c r="M71" i="6"/>
  <c r="L71" i="6"/>
  <c r="K71" i="6"/>
  <c r="J71" i="6"/>
  <c r="I71" i="6"/>
  <c r="G71" i="6"/>
  <c r="F71" i="6"/>
  <c r="E71" i="6"/>
  <c r="C71" i="6"/>
  <c r="B71" i="6"/>
  <c r="D71" i="6" s="1"/>
  <c r="W70" i="6"/>
  <c r="T70" i="6"/>
  <c r="S70" i="6"/>
  <c r="M70" i="6"/>
  <c r="L70" i="6"/>
  <c r="K70" i="6"/>
  <c r="J70" i="6"/>
  <c r="I70" i="6"/>
  <c r="G70" i="6"/>
  <c r="F70" i="6"/>
  <c r="E70" i="6"/>
  <c r="B70" i="6"/>
  <c r="S69" i="6"/>
  <c r="Q69" i="6"/>
  <c r="M69" i="6"/>
  <c r="K69" i="6"/>
  <c r="L69" i="6" s="1"/>
  <c r="J69" i="6"/>
  <c r="W69" i="6" s="1"/>
  <c r="I69" i="6"/>
  <c r="G69" i="6"/>
  <c r="F69" i="6"/>
  <c r="E69" i="6"/>
  <c r="C69" i="6"/>
  <c r="B69" i="6"/>
  <c r="D69" i="6" s="1"/>
  <c r="W68" i="6"/>
  <c r="T68" i="6"/>
  <c r="Q68" i="6"/>
  <c r="M68" i="6"/>
  <c r="L68" i="6"/>
  <c r="K68" i="6"/>
  <c r="J68" i="6"/>
  <c r="I68" i="6"/>
  <c r="H68" i="6"/>
  <c r="G68" i="6"/>
  <c r="F68" i="6"/>
  <c r="E68" i="6"/>
  <c r="D68" i="6"/>
  <c r="B68" i="6"/>
  <c r="C68" i="6" s="1"/>
  <c r="T67" i="6"/>
  <c r="S67" i="6"/>
  <c r="U67" i="6" s="1"/>
  <c r="Q67" i="6"/>
  <c r="M67" i="6"/>
  <c r="K67" i="6"/>
  <c r="L67" i="6" s="1"/>
  <c r="J67" i="6"/>
  <c r="W67" i="6" s="1"/>
  <c r="I67" i="6"/>
  <c r="G67" i="6"/>
  <c r="F67" i="6"/>
  <c r="E67" i="6"/>
  <c r="H67" i="6" s="1"/>
  <c r="D67" i="6"/>
  <c r="B67" i="6"/>
  <c r="C67" i="6" s="1"/>
  <c r="W66" i="6"/>
  <c r="T66" i="6"/>
  <c r="S66" i="6"/>
  <c r="M66" i="6"/>
  <c r="L66" i="6"/>
  <c r="K66" i="6"/>
  <c r="J66" i="6"/>
  <c r="I66" i="6"/>
  <c r="H66" i="6"/>
  <c r="G66" i="6"/>
  <c r="F66" i="6"/>
  <c r="E66" i="6"/>
  <c r="Q66" i="6" s="1"/>
  <c r="B66" i="6"/>
  <c r="T65" i="6"/>
  <c r="S65" i="6"/>
  <c r="M65" i="6"/>
  <c r="K65" i="6"/>
  <c r="L65" i="6" s="1"/>
  <c r="J65" i="6"/>
  <c r="W65" i="6" s="1"/>
  <c r="I65" i="6"/>
  <c r="H65" i="6"/>
  <c r="G65" i="6"/>
  <c r="F65" i="6"/>
  <c r="E65" i="6"/>
  <c r="B65" i="6"/>
  <c r="T64" i="6"/>
  <c r="S64" i="6"/>
  <c r="Q64" i="6"/>
  <c r="M64" i="6"/>
  <c r="K64" i="6"/>
  <c r="L64" i="6" s="1"/>
  <c r="J64" i="6"/>
  <c r="W64" i="6" s="1"/>
  <c r="I64" i="6"/>
  <c r="G64" i="6"/>
  <c r="F64" i="6"/>
  <c r="E64" i="6"/>
  <c r="B64" i="6"/>
  <c r="D64" i="6" s="1"/>
  <c r="W63" i="6"/>
  <c r="T63" i="6"/>
  <c r="M63" i="6"/>
  <c r="L63" i="6"/>
  <c r="K63" i="6"/>
  <c r="J63" i="6"/>
  <c r="I63" i="6"/>
  <c r="G63" i="6"/>
  <c r="F63" i="6"/>
  <c r="E63" i="6"/>
  <c r="D63" i="6"/>
  <c r="B63" i="6"/>
  <c r="C63" i="6" s="1"/>
  <c r="W62" i="6"/>
  <c r="T62" i="6"/>
  <c r="S62" i="6"/>
  <c r="M62" i="6"/>
  <c r="K62" i="6"/>
  <c r="L62" i="6" s="1"/>
  <c r="J62" i="6"/>
  <c r="I62" i="6"/>
  <c r="G62" i="6"/>
  <c r="F62" i="6"/>
  <c r="E62" i="6"/>
  <c r="B62" i="6"/>
  <c r="D62" i="6" s="1"/>
  <c r="T61" i="6"/>
  <c r="S61" i="6"/>
  <c r="Q61" i="6"/>
  <c r="M61" i="6"/>
  <c r="L61" i="6"/>
  <c r="K61" i="6"/>
  <c r="J61" i="6"/>
  <c r="W61" i="6" s="1"/>
  <c r="I61" i="6"/>
  <c r="G61" i="6"/>
  <c r="F61" i="6"/>
  <c r="E61" i="6"/>
  <c r="D61" i="6"/>
  <c r="B61" i="6"/>
  <c r="C61" i="6" s="1"/>
  <c r="W60" i="6"/>
  <c r="T60" i="6"/>
  <c r="S60" i="6"/>
  <c r="Q60" i="6"/>
  <c r="M60" i="6"/>
  <c r="K60" i="6"/>
  <c r="L60" i="6" s="1"/>
  <c r="J60" i="6"/>
  <c r="I60" i="6"/>
  <c r="G60" i="6"/>
  <c r="H60" i="6" s="1"/>
  <c r="F60" i="6"/>
  <c r="E60" i="6"/>
  <c r="C60" i="6"/>
  <c r="B60" i="6"/>
  <c r="D60" i="6" s="1"/>
  <c r="W59" i="6"/>
  <c r="U59" i="6"/>
  <c r="T59" i="6"/>
  <c r="S59" i="6"/>
  <c r="Q59" i="6"/>
  <c r="M59" i="6"/>
  <c r="L59" i="6"/>
  <c r="K59" i="6"/>
  <c r="J59" i="6"/>
  <c r="I59" i="6"/>
  <c r="G59" i="6"/>
  <c r="F59" i="6"/>
  <c r="E59" i="6"/>
  <c r="D59" i="6"/>
  <c r="B59" i="6"/>
  <c r="C59" i="6" s="1"/>
  <c r="W58" i="6"/>
  <c r="T58" i="6"/>
  <c r="S58" i="6"/>
  <c r="M58" i="6"/>
  <c r="L58" i="6"/>
  <c r="K58" i="6"/>
  <c r="J58" i="6"/>
  <c r="I58" i="6"/>
  <c r="H58" i="6"/>
  <c r="G58" i="6"/>
  <c r="F58" i="6"/>
  <c r="E58" i="6"/>
  <c r="Q58" i="6" s="1"/>
  <c r="C58" i="6"/>
  <c r="B58" i="6"/>
  <c r="D58" i="6" s="1"/>
  <c r="T57" i="6"/>
  <c r="S57" i="6"/>
  <c r="M57" i="6"/>
  <c r="K57" i="6"/>
  <c r="L57" i="6" s="1"/>
  <c r="J57" i="6"/>
  <c r="W57" i="6" s="1"/>
  <c r="I57" i="6"/>
  <c r="G57" i="6"/>
  <c r="F57" i="6"/>
  <c r="E57" i="6"/>
  <c r="B57" i="6"/>
  <c r="W56" i="6"/>
  <c r="V56" i="6"/>
  <c r="T56" i="6"/>
  <c r="S56" i="6"/>
  <c r="M56" i="6"/>
  <c r="L56" i="6"/>
  <c r="K56" i="6"/>
  <c r="J56" i="6"/>
  <c r="I56" i="6"/>
  <c r="G56" i="6"/>
  <c r="F56" i="6"/>
  <c r="E56" i="6"/>
  <c r="D56" i="6"/>
  <c r="B56" i="6"/>
  <c r="C56" i="6" s="1"/>
  <c r="T55" i="6"/>
  <c r="S55" i="6"/>
  <c r="Q55" i="6"/>
  <c r="M55" i="6"/>
  <c r="K55" i="6"/>
  <c r="L55" i="6" s="1"/>
  <c r="J55" i="6"/>
  <c r="W55" i="6" s="1"/>
  <c r="I55" i="6"/>
  <c r="G55" i="6"/>
  <c r="F55" i="6"/>
  <c r="E55" i="6"/>
  <c r="D55" i="6"/>
  <c r="C55" i="6"/>
  <c r="B55" i="6"/>
  <c r="T54" i="6"/>
  <c r="S54" i="6"/>
  <c r="Q54" i="6"/>
  <c r="M54" i="6"/>
  <c r="K54" i="6"/>
  <c r="L54" i="6" s="1"/>
  <c r="J54" i="6"/>
  <c r="W54" i="6" s="1"/>
  <c r="I54" i="6"/>
  <c r="G54" i="6"/>
  <c r="F54" i="6"/>
  <c r="E54" i="6"/>
  <c r="D54" i="6"/>
  <c r="B54" i="6"/>
  <c r="C54" i="6" s="1"/>
  <c r="T53" i="6"/>
  <c r="S53" i="6"/>
  <c r="Q53" i="6"/>
  <c r="M53" i="6"/>
  <c r="K53" i="6"/>
  <c r="L53" i="6" s="1"/>
  <c r="J53" i="6"/>
  <c r="W53" i="6" s="1"/>
  <c r="I53" i="6"/>
  <c r="G53" i="6"/>
  <c r="H53" i="6" s="1"/>
  <c r="F53" i="6"/>
  <c r="E53" i="6"/>
  <c r="D53" i="6"/>
  <c r="C53" i="6"/>
  <c r="B53" i="6"/>
  <c r="W52" i="6"/>
  <c r="T52" i="6"/>
  <c r="S52" i="6"/>
  <c r="Q52" i="6"/>
  <c r="M52" i="6"/>
  <c r="K52" i="6"/>
  <c r="L52" i="6" s="1"/>
  <c r="J52" i="6"/>
  <c r="I52" i="6"/>
  <c r="G52" i="6"/>
  <c r="F52" i="6"/>
  <c r="E52" i="6"/>
  <c r="B52" i="6"/>
  <c r="C52" i="6" s="1"/>
  <c r="W51" i="6"/>
  <c r="T51" i="6"/>
  <c r="S51" i="6"/>
  <c r="Q51" i="6"/>
  <c r="M51" i="6"/>
  <c r="K51" i="6"/>
  <c r="L51" i="6" s="1"/>
  <c r="J51" i="6"/>
  <c r="I51" i="6"/>
  <c r="G51" i="6"/>
  <c r="F51" i="6"/>
  <c r="E51" i="6"/>
  <c r="D51" i="6"/>
  <c r="C51" i="6"/>
  <c r="B51" i="6"/>
  <c r="S50" i="6"/>
  <c r="M50" i="6"/>
  <c r="K50" i="6"/>
  <c r="L50" i="6" s="1"/>
  <c r="J50" i="6"/>
  <c r="W50" i="6" s="1"/>
  <c r="I50" i="6"/>
  <c r="H50" i="6"/>
  <c r="G50" i="6"/>
  <c r="F50" i="6"/>
  <c r="E50" i="6"/>
  <c r="Q50" i="6" s="1"/>
  <c r="B50" i="6"/>
  <c r="W49" i="6"/>
  <c r="T49" i="6"/>
  <c r="S49" i="6"/>
  <c r="Q49" i="6"/>
  <c r="M49" i="6"/>
  <c r="K49" i="6"/>
  <c r="L49" i="6" s="1"/>
  <c r="J49" i="6"/>
  <c r="I49" i="6"/>
  <c r="G49" i="6"/>
  <c r="F49" i="6"/>
  <c r="E49" i="6"/>
  <c r="C49" i="6"/>
  <c r="B49" i="6"/>
  <c r="D49" i="6" s="1"/>
  <c r="W48" i="6"/>
  <c r="T48" i="6"/>
  <c r="S48" i="6"/>
  <c r="U48" i="6" s="1"/>
  <c r="Q48" i="6"/>
  <c r="M48" i="6"/>
  <c r="L48" i="6"/>
  <c r="K48" i="6"/>
  <c r="J48" i="6"/>
  <c r="I48" i="6"/>
  <c r="G48" i="6"/>
  <c r="F48" i="6"/>
  <c r="E48" i="6"/>
  <c r="B48" i="6"/>
  <c r="C48" i="6" s="1"/>
  <c r="T47" i="6"/>
  <c r="S47" i="6"/>
  <c r="Q47" i="6"/>
  <c r="M47" i="6"/>
  <c r="L47" i="6"/>
  <c r="K47" i="6"/>
  <c r="J47" i="6"/>
  <c r="W47" i="6" s="1"/>
  <c r="I47" i="6"/>
  <c r="G47" i="6"/>
  <c r="F47" i="6"/>
  <c r="E47" i="6"/>
  <c r="D47" i="6"/>
  <c r="C47" i="6"/>
  <c r="B47" i="6"/>
  <c r="W46" i="6"/>
  <c r="T46" i="6"/>
  <c r="S46" i="6"/>
  <c r="Q46" i="6"/>
  <c r="M46" i="6"/>
  <c r="K46" i="6"/>
  <c r="L46" i="6" s="1"/>
  <c r="J46" i="6"/>
  <c r="I46" i="6"/>
  <c r="G46" i="6"/>
  <c r="F46" i="6"/>
  <c r="E46" i="6"/>
  <c r="D46" i="6"/>
  <c r="B46" i="6"/>
  <c r="C46" i="6" s="1"/>
  <c r="W45" i="6"/>
  <c r="T45" i="6"/>
  <c r="S45" i="6"/>
  <c r="Q45" i="6"/>
  <c r="M45" i="6"/>
  <c r="K45" i="6"/>
  <c r="L45" i="6" s="1"/>
  <c r="J45" i="6"/>
  <c r="I45" i="6"/>
  <c r="G45" i="6"/>
  <c r="F45" i="6"/>
  <c r="E45" i="6"/>
  <c r="D45" i="6"/>
  <c r="C45" i="6"/>
  <c r="B45" i="6"/>
  <c r="W44" i="6"/>
  <c r="T44" i="6"/>
  <c r="S44" i="6"/>
  <c r="Q44" i="6"/>
  <c r="M44" i="6"/>
  <c r="L44" i="6"/>
  <c r="K44" i="6"/>
  <c r="J44" i="6"/>
  <c r="I44" i="6"/>
  <c r="G44" i="6"/>
  <c r="F44" i="6"/>
  <c r="E44" i="6"/>
  <c r="B44" i="6"/>
  <c r="D44" i="6" s="1"/>
  <c r="W43" i="6"/>
  <c r="T43" i="6"/>
  <c r="S43" i="6"/>
  <c r="M43" i="6"/>
  <c r="K43" i="6"/>
  <c r="L43" i="6" s="1"/>
  <c r="J43" i="6"/>
  <c r="I43" i="6"/>
  <c r="G43" i="6"/>
  <c r="F43" i="6"/>
  <c r="E43" i="6"/>
  <c r="B43" i="6"/>
  <c r="D43" i="6" s="1"/>
  <c r="W42" i="6"/>
  <c r="S42" i="6"/>
  <c r="M42" i="6"/>
  <c r="L42" i="6"/>
  <c r="K42" i="6"/>
  <c r="J42" i="6"/>
  <c r="I42" i="6"/>
  <c r="G42" i="6"/>
  <c r="F42" i="6"/>
  <c r="E42" i="6"/>
  <c r="B42" i="6"/>
  <c r="W41" i="6"/>
  <c r="T41" i="6"/>
  <c r="S41" i="6"/>
  <c r="Q41" i="6"/>
  <c r="M41" i="6"/>
  <c r="K41" i="6"/>
  <c r="L41" i="6" s="1"/>
  <c r="J41" i="6"/>
  <c r="I41" i="6"/>
  <c r="G41" i="6"/>
  <c r="F41" i="6"/>
  <c r="E41" i="6"/>
  <c r="B41" i="6"/>
  <c r="W40" i="6"/>
  <c r="T40" i="6"/>
  <c r="S40" i="6"/>
  <c r="U40" i="6" s="1"/>
  <c r="Q40" i="6"/>
  <c r="M40" i="6"/>
  <c r="K40" i="6"/>
  <c r="L40" i="6" s="1"/>
  <c r="J40" i="6"/>
  <c r="I40" i="6"/>
  <c r="G40" i="6"/>
  <c r="F40" i="6"/>
  <c r="E40" i="6"/>
  <c r="D40" i="6"/>
  <c r="B40" i="6"/>
  <c r="C40" i="6" s="1"/>
  <c r="W39" i="6"/>
  <c r="T39" i="6"/>
  <c r="S39" i="6"/>
  <c r="Q39" i="6"/>
  <c r="M39" i="6"/>
  <c r="K39" i="6"/>
  <c r="L39" i="6" s="1"/>
  <c r="J39" i="6"/>
  <c r="I39" i="6"/>
  <c r="G39" i="6"/>
  <c r="F39" i="6"/>
  <c r="E39" i="6"/>
  <c r="B39" i="6"/>
  <c r="D39" i="6" s="1"/>
  <c r="W38" i="6"/>
  <c r="T38" i="6"/>
  <c r="S38" i="6"/>
  <c r="M38" i="6"/>
  <c r="K38" i="6"/>
  <c r="L38" i="6" s="1"/>
  <c r="J38" i="6"/>
  <c r="I38" i="6"/>
  <c r="G38" i="6"/>
  <c r="F38" i="6"/>
  <c r="E38" i="6"/>
  <c r="D38" i="6"/>
  <c r="B38" i="6"/>
  <c r="C38" i="6" s="1"/>
  <c r="T37" i="6"/>
  <c r="S37" i="6"/>
  <c r="Q37" i="6"/>
  <c r="M37" i="6"/>
  <c r="K37" i="6"/>
  <c r="L37" i="6" s="1"/>
  <c r="J37" i="6"/>
  <c r="W37" i="6" s="1"/>
  <c r="I37" i="6"/>
  <c r="G37" i="6"/>
  <c r="F37" i="6"/>
  <c r="E37" i="6"/>
  <c r="D37" i="6"/>
  <c r="C37" i="6"/>
  <c r="B37" i="6"/>
  <c r="T36" i="6"/>
  <c r="S36" i="6"/>
  <c r="Q36" i="6"/>
  <c r="M36" i="6"/>
  <c r="K36" i="6"/>
  <c r="L36" i="6" s="1"/>
  <c r="J36" i="6"/>
  <c r="W36" i="6" s="1"/>
  <c r="I36" i="6"/>
  <c r="G36" i="6"/>
  <c r="F36" i="6"/>
  <c r="E36" i="6"/>
  <c r="D36" i="6"/>
  <c r="C36" i="6"/>
  <c r="B36" i="6"/>
  <c r="W35" i="6"/>
  <c r="T35" i="6"/>
  <c r="S35" i="6"/>
  <c r="Q35" i="6"/>
  <c r="M35" i="6"/>
  <c r="K35" i="6"/>
  <c r="L35" i="6" s="1"/>
  <c r="J35" i="6"/>
  <c r="I35" i="6"/>
  <c r="G35" i="6"/>
  <c r="F35" i="6"/>
  <c r="E35" i="6"/>
  <c r="H35" i="6" s="1"/>
  <c r="D35" i="6"/>
  <c r="C35" i="6"/>
  <c r="B35" i="6"/>
  <c r="W34" i="6"/>
  <c r="S34" i="6"/>
  <c r="U34" i="6" s="1"/>
  <c r="M34" i="6"/>
  <c r="K34" i="6"/>
  <c r="L34" i="6" s="1"/>
  <c r="J34" i="6"/>
  <c r="I34" i="6"/>
  <c r="G34" i="6"/>
  <c r="F34" i="6"/>
  <c r="E34" i="6"/>
  <c r="Q34" i="6" s="1"/>
  <c r="B34" i="6"/>
  <c r="W33" i="6"/>
  <c r="T33" i="6"/>
  <c r="S33" i="6"/>
  <c r="M33" i="6"/>
  <c r="L33" i="6"/>
  <c r="K33" i="6"/>
  <c r="J33" i="6"/>
  <c r="I33" i="6"/>
  <c r="G33" i="6"/>
  <c r="H33" i="6" s="1"/>
  <c r="F33" i="6"/>
  <c r="E33" i="6"/>
  <c r="D33" i="6"/>
  <c r="C33" i="6"/>
  <c r="B33" i="6"/>
  <c r="T32" i="6"/>
  <c r="S32" i="6"/>
  <c r="M32" i="6"/>
  <c r="K32" i="6"/>
  <c r="L32" i="6" s="1"/>
  <c r="J32" i="6"/>
  <c r="W32" i="6" s="1"/>
  <c r="I32" i="6"/>
  <c r="G32" i="6"/>
  <c r="F32" i="6"/>
  <c r="E32" i="6"/>
  <c r="R26" i="6" s="1"/>
  <c r="D32" i="6"/>
  <c r="B32" i="6"/>
  <c r="C32" i="6" s="1"/>
  <c r="T31" i="6"/>
  <c r="S31" i="6"/>
  <c r="M31" i="6"/>
  <c r="K31" i="6"/>
  <c r="L31" i="6" s="1"/>
  <c r="J31" i="6"/>
  <c r="W31" i="6" s="1"/>
  <c r="I31" i="6"/>
  <c r="G31" i="6"/>
  <c r="F31" i="6"/>
  <c r="E31" i="6"/>
  <c r="R34" i="6" s="1"/>
  <c r="D31" i="6"/>
  <c r="B31" i="6"/>
  <c r="C31" i="6" s="1"/>
  <c r="T30" i="6"/>
  <c r="S30" i="6"/>
  <c r="U30" i="6" s="1"/>
  <c r="M30" i="6"/>
  <c r="K30" i="6"/>
  <c r="L30" i="6" s="1"/>
  <c r="J30" i="6"/>
  <c r="W30" i="6" s="1"/>
  <c r="I30" i="6"/>
  <c r="G30" i="6"/>
  <c r="H30" i="6" s="1"/>
  <c r="F30" i="6"/>
  <c r="E30" i="6"/>
  <c r="D30" i="6"/>
  <c r="C30" i="6"/>
  <c r="B30" i="6"/>
  <c r="T29" i="6"/>
  <c r="S29" i="6"/>
  <c r="Q29" i="6"/>
  <c r="M29" i="6"/>
  <c r="K29" i="6"/>
  <c r="L29" i="6" s="1"/>
  <c r="J29" i="6"/>
  <c r="W29" i="6" s="1"/>
  <c r="I29" i="6"/>
  <c r="G29" i="6"/>
  <c r="H29" i="6" s="1"/>
  <c r="F29" i="6"/>
  <c r="E29" i="6"/>
  <c r="D29" i="6"/>
  <c r="C29" i="6"/>
  <c r="B29" i="6"/>
  <c r="W28" i="6"/>
  <c r="T28" i="6"/>
  <c r="S28" i="6"/>
  <c r="U28" i="6" s="1"/>
  <c r="Q28" i="6"/>
  <c r="M28" i="6"/>
  <c r="K28" i="6"/>
  <c r="L28" i="6" s="1"/>
  <c r="J28" i="6"/>
  <c r="I28" i="6"/>
  <c r="G28" i="6"/>
  <c r="F28" i="6"/>
  <c r="E28" i="6"/>
  <c r="B28" i="6"/>
  <c r="D28" i="6" s="1"/>
  <c r="W27" i="6"/>
  <c r="U27" i="6"/>
  <c r="T27" i="6"/>
  <c r="S27" i="6"/>
  <c r="M27" i="6"/>
  <c r="K27" i="6"/>
  <c r="L27" i="6" s="1"/>
  <c r="J27" i="6"/>
  <c r="I27" i="6"/>
  <c r="G27" i="6"/>
  <c r="F27" i="6"/>
  <c r="E27" i="6"/>
  <c r="B27" i="6"/>
  <c r="C27" i="6" s="1"/>
  <c r="W26" i="6"/>
  <c r="S26" i="6"/>
  <c r="Q26" i="6"/>
  <c r="M26" i="6"/>
  <c r="K26" i="6"/>
  <c r="L26" i="6" s="1"/>
  <c r="J26" i="6"/>
  <c r="I26" i="6"/>
  <c r="G26" i="6"/>
  <c r="N72" i="6" s="1"/>
  <c r="F26" i="6"/>
  <c r="E26" i="6"/>
  <c r="B26" i="6"/>
  <c r="W25" i="6"/>
  <c r="U25" i="6"/>
  <c r="T25" i="6"/>
  <c r="S25" i="6"/>
  <c r="M25" i="6"/>
  <c r="K25" i="6"/>
  <c r="L25" i="6" s="1"/>
  <c r="J25" i="6"/>
  <c r="I25" i="6"/>
  <c r="G25" i="6"/>
  <c r="N49" i="6" s="1"/>
  <c r="F25" i="6"/>
  <c r="E25" i="6"/>
  <c r="R35" i="6" s="1"/>
  <c r="D25" i="6"/>
  <c r="C25" i="6"/>
  <c r="B25" i="6"/>
  <c r="T24" i="6"/>
  <c r="V24" i="6" s="1"/>
  <c r="S24" i="6"/>
  <c r="Q24" i="6"/>
  <c r="M24" i="6"/>
  <c r="L24" i="6"/>
  <c r="K24" i="6"/>
  <c r="J24" i="6"/>
  <c r="W24" i="6" s="1"/>
  <c r="I24" i="6"/>
  <c r="H24" i="6"/>
  <c r="G24" i="6"/>
  <c r="F24" i="6"/>
  <c r="E24" i="6"/>
  <c r="B24" i="6"/>
  <c r="C24" i="6" s="1"/>
  <c r="W23" i="6"/>
  <c r="U23" i="6"/>
  <c r="T23" i="6"/>
  <c r="V23" i="6" s="1"/>
  <c r="S23" i="6"/>
  <c r="Q23" i="6"/>
  <c r="M23" i="6"/>
  <c r="L23" i="6"/>
  <c r="K23" i="6"/>
  <c r="J23" i="6"/>
  <c r="I23" i="6"/>
  <c r="G23" i="6"/>
  <c r="F23" i="6"/>
  <c r="E23" i="6"/>
  <c r="B23" i="6"/>
  <c r="B5" i="6"/>
  <c r="J61" i="5"/>
  <c r="A60" i="5"/>
  <c r="D55" i="5"/>
  <c r="E55" i="5" s="1"/>
  <c r="C55" i="5"/>
  <c r="B55" i="5"/>
  <c r="D54" i="5"/>
  <c r="C54" i="5"/>
  <c r="B54" i="5"/>
  <c r="E54" i="5" s="1"/>
  <c r="D53" i="5"/>
  <c r="C53" i="5"/>
  <c r="B53" i="5"/>
  <c r="E53" i="5" s="1"/>
  <c r="D52" i="5"/>
  <c r="E52" i="5" s="1"/>
  <c r="C52" i="5"/>
  <c r="B52" i="5"/>
  <c r="D51" i="5"/>
  <c r="E51" i="5" s="1"/>
  <c r="C51" i="5"/>
  <c r="C56" i="5" s="1"/>
  <c r="B51" i="5"/>
  <c r="J46" i="5"/>
  <c r="I46" i="5"/>
  <c r="H46" i="5"/>
  <c r="D46" i="5"/>
  <c r="J31" i="12" s="1"/>
  <c r="C46" i="5"/>
  <c r="B46" i="5"/>
  <c r="I31" i="12" s="1"/>
  <c r="J45" i="5"/>
  <c r="I14" i="7" s="1"/>
  <c r="I45" i="5"/>
  <c r="J14" i="7" s="1"/>
  <c r="H45" i="5"/>
  <c r="D45" i="5"/>
  <c r="J30" i="12" s="1"/>
  <c r="C45" i="5"/>
  <c r="B45" i="5"/>
  <c r="I30" i="12" s="1"/>
  <c r="K44" i="5"/>
  <c r="J44" i="5"/>
  <c r="I44" i="5"/>
  <c r="J13" i="7" s="1"/>
  <c r="H44" i="5"/>
  <c r="D44" i="5"/>
  <c r="J29" i="12" s="1"/>
  <c r="C44" i="5"/>
  <c r="E44" i="5" s="1"/>
  <c r="B44" i="5"/>
  <c r="J43" i="5"/>
  <c r="I43" i="5"/>
  <c r="H43" i="5"/>
  <c r="D43" i="5"/>
  <c r="J28" i="12" s="1"/>
  <c r="C43" i="5"/>
  <c r="B43" i="5"/>
  <c r="K42" i="5"/>
  <c r="J42" i="5"/>
  <c r="I11" i="7" s="1"/>
  <c r="I42" i="5"/>
  <c r="J11" i="7" s="1"/>
  <c r="H42" i="5"/>
  <c r="D42" i="5"/>
  <c r="J27" i="12" s="1"/>
  <c r="C42" i="5"/>
  <c r="B42" i="5"/>
  <c r="I27" i="12" s="1"/>
  <c r="J41" i="5"/>
  <c r="I10" i="7" s="1"/>
  <c r="I41" i="5"/>
  <c r="J10" i="7" s="1"/>
  <c r="H41" i="5"/>
  <c r="D41" i="5"/>
  <c r="J26" i="12" s="1"/>
  <c r="C41" i="5"/>
  <c r="B41" i="5"/>
  <c r="E41" i="5" s="1"/>
  <c r="K40" i="5"/>
  <c r="J40" i="5"/>
  <c r="I9" i="7" s="1"/>
  <c r="I40" i="5"/>
  <c r="J9" i="7" s="1"/>
  <c r="H40" i="5"/>
  <c r="D40" i="5"/>
  <c r="J25" i="12" s="1"/>
  <c r="C40" i="5"/>
  <c r="E40" i="5" s="1"/>
  <c r="B40" i="5"/>
  <c r="I25" i="12" s="1"/>
  <c r="J39" i="5"/>
  <c r="I8" i="7" s="1"/>
  <c r="I39" i="5"/>
  <c r="J8" i="7" s="1"/>
  <c r="H39" i="5"/>
  <c r="D39" i="5"/>
  <c r="J24" i="12" s="1"/>
  <c r="C39" i="5"/>
  <c r="K39" i="5" s="1"/>
  <c r="B39" i="5"/>
  <c r="I24" i="12" s="1"/>
  <c r="J38" i="5"/>
  <c r="I7" i="7" s="1"/>
  <c r="I38" i="5"/>
  <c r="J7" i="7" s="1"/>
  <c r="H38" i="5"/>
  <c r="D38" i="5"/>
  <c r="J23" i="12" s="1"/>
  <c r="C38" i="5"/>
  <c r="E38" i="5" s="1"/>
  <c r="B38" i="5"/>
  <c r="I23" i="12" s="1"/>
  <c r="J37" i="5"/>
  <c r="I6" i="7" s="1"/>
  <c r="I37" i="5"/>
  <c r="J6" i="7" s="1"/>
  <c r="H37" i="5"/>
  <c r="E37" i="5"/>
  <c r="D37" i="5"/>
  <c r="J22" i="12" s="1"/>
  <c r="C37" i="5"/>
  <c r="B37" i="5"/>
  <c r="I22" i="12" s="1"/>
  <c r="D32" i="5"/>
  <c r="C32" i="5"/>
  <c r="C90" i="12" s="1"/>
  <c r="B32" i="5"/>
  <c r="D31" i="5"/>
  <c r="C31" i="5"/>
  <c r="E31" i="5" s="1"/>
  <c r="D89" i="12" s="1"/>
  <c r="B31" i="5"/>
  <c r="D30" i="5"/>
  <c r="C30" i="5"/>
  <c r="C88" i="12" s="1"/>
  <c r="B30" i="5"/>
  <c r="E30" i="5" s="1"/>
  <c r="D88" i="12" s="1"/>
  <c r="B26" i="5"/>
  <c r="G25" i="5"/>
  <c r="F25" i="5"/>
  <c r="K54" i="1" s="1"/>
  <c r="D25" i="5"/>
  <c r="C25" i="5"/>
  <c r="E25" i="5" s="1"/>
  <c r="B25" i="5"/>
  <c r="D24" i="5"/>
  <c r="C24" i="5"/>
  <c r="B24" i="5"/>
  <c r="D23" i="5"/>
  <c r="C23" i="5"/>
  <c r="B23" i="5"/>
  <c r="G22" i="5"/>
  <c r="E22" i="5"/>
  <c r="D22" i="5"/>
  <c r="C22" i="5"/>
  <c r="B22" i="5"/>
  <c r="J51" i="1" s="1"/>
  <c r="D17" i="5"/>
  <c r="C17" i="5"/>
  <c r="B17" i="5"/>
  <c r="D16" i="5"/>
  <c r="C16" i="5"/>
  <c r="B16" i="5"/>
  <c r="E16" i="5" s="1"/>
  <c r="D15" i="5"/>
  <c r="C15" i="5"/>
  <c r="B15" i="5"/>
  <c r="D10" i="5"/>
  <c r="C10" i="5"/>
  <c r="B10" i="5"/>
  <c r="B49" i="12" s="1"/>
  <c r="G9" i="5"/>
  <c r="E9" i="5"/>
  <c r="C48" i="12" s="1"/>
  <c r="D9" i="5"/>
  <c r="C9" i="5"/>
  <c r="D48" i="12" s="1"/>
  <c r="B9" i="5"/>
  <c r="B48" i="12" s="1"/>
  <c r="D8" i="5"/>
  <c r="C8" i="5"/>
  <c r="B8" i="5"/>
  <c r="B47" i="12" s="1"/>
  <c r="D7" i="5"/>
  <c r="C7" i="5"/>
  <c r="D46" i="12" s="1"/>
  <c r="B7" i="5"/>
  <c r="G6" i="5"/>
  <c r="D6" i="5"/>
  <c r="C6" i="5"/>
  <c r="D45" i="12" s="1"/>
  <c r="B6" i="5"/>
  <c r="B45" i="12" s="1"/>
  <c r="C10" i="4"/>
  <c r="R7" i="2"/>
  <c r="F7" i="2"/>
  <c r="N5" i="2"/>
  <c r="L74" i="1"/>
  <c r="L73" i="1"/>
  <c r="M73" i="1" s="1"/>
  <c r="L72" i="1"/>
  <c r="M72" i="1" s="1"/>
  <c r="M71" i="1"/>
  <c r="L71" i="1"/>
  <c r="L70" i="1"/>
  <c r="L69" i="1"/>
  <c r="M69" i="1" s="1"/>
  <c r="C69" i="1"/>
  <c r="M68" i="1"/>
  <c r="L68" i="1"/>
  <c r="L67" i="1"/>
  <c r="M67" i="1" s="1"/>
  <c r="C67" i="1"/>
  <c r="L66" i="1"/>
  <c r="M66" i="1" s="1"/>
  <c r="J66" i="1"/>
  <c r="C66" i="1"/>
  <c r="M65" i="1"/>
  <c r="L65" i="1"/>
  <c r="J65" i="1"/>
  <c r="I59" i="1"/>
  <c r="J58" i="1"/>
  <c r="I58" i="1"/>
  <c r="I57" i="1"/>
  <c r="J54" i="1"/>
  <c r="I54" i="1"/>
  <c r="J53" i="1"/>
  <c r="I53" i="1"/>
  <c r="I52" i="1"/>
  <c r="I51" i="1"/>
  <c r="J8" i="1"/>
  <c r="P3" i="1"/>
  <c r="C68" i="1" s="1"/>
  <c r="O3" i="1"/>
  <c r="B2" i="1"/>
  <c r="B7" i="8" l="1"/>
  <c r="B16" i="8"/>
  <c r="B17" i="8" s="1"/>
  <c r="B19" i="8"/>
  <c r="B20" i="8"/>
  <c r="J11" i="1"/>
  <c r="E56" i="5"/>
  <c r="U50" i="6"/>
  <c r="D56" i="5"/>
  <c r="A49" i="11"/>
  <c r="A47" i="11"/>
  <c r="A5" i="12"/>
  <c r="A48" i="11"/>
  <c r="A61" i="5"/>
  <c r="D60" i="5"/>
  <c r="E65" i="1"/>
  <c r="F65" i="1" s="1"/>
  <c r="E60" i="5"/>
  <c r="H37" i="6"/>
  <c r="N37" i="6"/>
  <c r="N61" i="6"/>
  <c r="R42" i="6"/>
  <c r="Q42" i="6"/>
  <c r="R47" i="6"/>
  <c r="C25" i="7"/>
  <c r="U26" i="6"/>
  <c r="B55" i="7" s="1"/>
  <c r="U51" i="6"/>
  <c r="B14" i="8"/>
  <c r="B13" i="8"/>
  <c r="B15" i="8"/>
  <c r="K43" i="5"/>
  <c r="N23" i="6"/>
  <c r="O23" i="6" s="1"/>
  <c r="N66" i="6"/>
  <c r="B10" i="8"/>
  <c r="G10" i="5"/>
  <c r="C28" i="6"/>
  <c r="B11" i="8"/>
  <c r="B11" i="5"/>
  <c r="F10" i="5" s="1"/>
  <c r="C26" i="5"/>
  <c r="N64" i="6"/>
  <c r="H64" i="6"/>
  <c r="P64" i="6"/>
  <c r="E7" i="5"/>
  <c r="C46" i="12" s="1"/>
  <c r="R23" i="6"/>
  <c r="U62" i="6"/>
  <c r="D27" i="6"/>
  <c r="R57" i="6"/>
  <c r="H57" i="6"/>
  <c r="Q57" i="6"/>
  <c r="C46" i="7"/>
  <c r="D26" i="6"/>
  <c r="C26" i="6"/>
  <c r="B90" i="12"/>
  <c r="G32" i="5"/>
  <c r="B33" i="5"/>
  <c r="J59" i="1"/>
  <c r="F32" i="5"/>
  <c r="K59" i="1" s="1"/>
  <c r="E32" i="5"/>
  <c r="D90" i="12" s="1"/>
  <c r="N43" i="6"/>
  <c r="H43" i="6"/>
  <c r="P43" i="6"/>
  <c r="U45" i="6"/>
  <c r="I26" i="12"/>
  <c r="G41" i="5"/>
  <c r="B47" i="5"/>
  <c r="F43" i="5" s="1"/>
  <c r="G38" i="5"/>
  <c r="H59" i="6"/>
  <c r="N59" i="6"/>
  <c r="Q31" i="6"/>
  <c r="R31" i="6"/>
  <c r="G37" i="5"/>
  <c r="G39" i="5"/>
  <c r="K45" i="5"/>
  <c r="Q27" i="6"/>
  <c r="R27" i="6"/>
  <c r="C39" i="6"/>
  <c r="U65" i="6"/>
  <c r="C18" i="5"/>
  <c r="G23" i="5"/>
  <c r="F23" i="5"/>
  <c r="K52" i="1" s="1"/>
  <c r="E23" i="5"/>
  <c r="U36" i="6"/>
  <c r="C44" i="6"/>
  <c r="R63" i="6"/>
  <c r="Q63" i="6"/>
  <c r="N42" i="6"/>
  <c r="B46" i="12"/>
  <c r="G7" i="5"/>
  <c r="E39" i="5"/>
  <c r="R45" i="6"/>
  <c r="H45" i="6"/>
  <c r="R56" i="6"/>
  <c r="Q56" i="6"/>
  <c r="G17" i="5"/>
  <c r="E17" i="5"/>
  <c r="R32" i="6"/>
  <c r="Q32" i="6"/>
  <c r="N55" i="6"/>
  <c r="H55" i="6"/>
  <c r="J13" i="1"/>
  <c r="R49" i="6"/>
  <c r="N54" i="6"/>
  <c r="P54" i="6"/>
  <c r="I28" i="12"/>
  <c r="K28" i="12" s="1"/>
  <c r="G43" i="5"/>
  <c r="E43" i="5"/>
  <c r="U46" i="6"/>
  <c r="C11" i="7"/>
  <c r="D11" i="7"/>
  <c r="B11" i="7"/>
  <c r="C17" i="7" s="1"/>
  <c r="U39" i="6"/>
  <c r="E26" i="5"/>
  <c r="H31" i="6"/>
  <c r="P31" i="6"/>
  <c r="N31" i="6"/>
  <c r="C11" i="5"/>
  <c r="E46" i="5"/>
  <c r="K46" i="5"/>
  <c r="N40" i="6"/>
  <c r="N53" i="6"/>
  <c r="D26" i="5"/>
  <c r="N26" i="6"/>
  <c r="Q38" i="6"/>
  <c r="R38" i="6"/>
  <c r="C62" i="6"/>
  <c r="U58" i="6"/>
  <c r="G44" i="5"/>
  <c r="D34" i="6"/>
  <c r="C34" i="6"/>
  <c r="N38" i="6"/>
  <c r="P38" i="6"/>
  <c r="C43" i="6"/>
  <c r="R28" i="6"/>
  <c r="N29" i="6"/>
  <c r="D42" i="6"/>
  <c r="C42" i="6"/>
  <c r="R46" i="6"/>
  <c r="V48" i="6"/>
  <c r="D49" i="12"/>
  <c r="E10" i="5"/>
  <c r="C49" i="12" s="1"/>
  <c r="H32" i="6"/>
  <c r="D41" i="6"/>
  <c r="C41" i="6"/>
  <c r="B60" i="5"/>
  <c r="H60" i="5" s="1"/>
  <c r="D18" i="5"/>
  <c r="U32" i="6"/>
  <c r="U33" i="6"/>
  <c r="R67" i="6"/>
  <c r="R24" i="6"/>
  <c r="R25" i="6"/>
  <c r="Q25" i="6"/>
  <c r="R66" i="6"/>
  <c r="H26" i="6"/>
  <c r="U52" i="6"/>
  <c r="P56" i="6"/>
  <c r="H56" i="6"/>
  <c r="N56" i="6"/>
  <c r="R62" i="6"/>
  <c r="Q62" i="6"/>
  <c r="F16" i="5"/>
  <c r="G42" i="5"/>
  <c r="N45" i="6"/>
  <c r="N25" i="6"/>
  <c r="O25" i="6" s="1"/>
  <c r="N68" i="6"/>
  <c r="B4" i="6"/>
  <c r="R37" i="6"/>
  <c r="H38" i="6"/>
  <c r="R43" i="6"/>
  <c r="Q43" i="6"/>
  <c r="B96" i="12" s="1"/>
  <c r="N48" i="6"/>
  <c r="H61" i="6"/>
  <c r="N60" i="6"/>
  <c r="N67" i="6"/>
  <c r="H5" i="6"/>
  <c r="C23" i="4" s="1"/>
  <c r="H54" i="6"/>
  <c r="K41" i="5"/>
  <c r="H42" i="6"/>
  <c r="U47" i="6"/>
  <c r="R41" i="6"/>
  <c r="U44" i="6"/>
  <c r="C60" i="5"/>
  <c r="B95" i="12"/>
  <c r="H3" i="6"/>
  <c r="F22" i="5"/>
  <c r="D47" i="12"/>
  <c r="E8" i="5"/>
  <c r="C47" i="12" s="1"/>
  <c r="N30" i="6"/>
  <c r="U42" i="6"/>
  <c r="D11" i="5"/>
  <c r="C89" i="12"/>
  <c r="C33" i="5"/>
  <c r="J62" i="5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R71" i="6"/>
  <c r="K37" i="5"/>
  <c r="G46" i="5"/>
  <c r="R60" i="6"/>
  <c r="H44" i="6"/>
  <c r="P44" i="6"/>
  <c r="N44" i="6"/>
  <c r="J52" i="1"/>
  <c r="G16" i="5"/>
  <c r="G31" i="5"/>
  <c r="H25" i="6"/>
  <c r="N50" i="6"/>
  <c r="H62" i="6"/>
  <c r="E45" i="5"/>
  <c r="C47" i="5"/>
  <c r="H34" i="6"/>
  <c r="P47" i="6"/>
  <c r="N47" i="6"/>
  <c r="V58" i="6"/>
  <c r="N41" i="6"/>
  <c r="P41" i="6"/>
  <c r="H41" i="6"/>
  <c r="U49" i="6"/>
  <c r="D23" i="6"/>
  <c r="C23" i="6"/>
  <c r="B53" i="7"/>
  <c r="B58" i="7"/>
  <c r="B52" i="7"/>
  <c r="B62" i="7"/>
  <c r="B57" i="7"/>
  <c r="B46" i="7"/>
  <c r="B67" i="7"/>
  <c r="N27" i="6"/>
  <c r="O27" i="6" s="1"/>
  <c r="P27" i="6"/>
  <c r="H27" i="6"/>
  <c r="Q70" i="6"/>
  <c r="R70" i="6"/>
  <c r="U24" i="6"/>
  <c r="B68" i="7" s="1"/>
  <c r="R36" i="6"/>
  <c r="G15" i="5"/>
  <c r="B18" i="5"/>
  <c r="R51" i="6"/>
  <c r="D52" i="6"/>
  <c r="U56" i="6"/>
  <c r="R59" i="6"/>
  <c r="D66" i="6"/>
  <c r="C66" i="6"/>
  <c r="V67" i="6"/>
  <c r="H71" i="6"/>
  <c r="P71" i="6"/>
  <c r="N71" i="6"/>
  <c r="C65" i="1"/>
  <c r="J67" i="1"/>
  <c r="M70" i="1"/>
  <c r="D47" i="5"/>
  <c r="H23" i="6"/>
  <c r="D24" i="6"/>
  <c r="N32" i="6"/>
  <c r="H47" i="6"/>
  <c r="H48" i="6"/>
  <c r="R52" i="6"/>
  <c r="V53" i="6"/>
  <c r="U54" i="6"/>
  <c r="U57" i="6"/>
  <c r="H70" i="6"/>
  <c r="C7" i="7"/>
  <c r="D7" i="7"/>
  <c r="B7" i="7"/>
  <c r="E10" i="7" s="1"/>
  <c r="B39" i="10"/>
  <c r="B47" i="10"/>
  <c r="B48" i="10" s="1"/>
  <c r="F6" i="1"/>
  <c r="D70" i="6"/>
  <c r="C70" i="6"/>
  <c r="U66" i="6"/>
  <c r="R72" i="6"/>
  <c r="H72" i="6"/>
  <c r="G8" i="5"/>
  <c r="J6" i="1"/>
  <c r="M74" i="1"/>
  <c r="D33" i="5"/>
  <c r="G40" i="5"/>
  <c r="G45" i="5"/>
  <c r="N35" i="6"/>
  <c r="U43" i="6"/>
  <c r="R44" i="6"/>
  <c r="H49" i="6"/>
  <c r="N51" i="6"/>
  <c r="U55" i="6"/>
  <c r="V57" i="6"/>
  <c r="V62" i="6"/>
  <c r="D65" i="6"/>
  <c r="C65" i="6"/>
  <c r="R33" i="6"/>
  <c r="Q33" i="6"/>
  <c r="P40" i="6"/>
  <c r="H40" i="6"/>
  <c r="B25" i="7"/>
  <c r="R61" i="6"/>
  <c r="R64" i="6"/>
  <c r="R50" i="6"/>
  <c r="R54" i="6"/>
  <c r="P46" i="6"/>
  <c r="N46" i="6"/>
  <c r="D48" i="6"/>
  <c r="V68" i="6"/>
  <c r="B6" i="1"/>
  <c r="H46" i="6"/>
  <c r="D50" i="6"/>
  <c r="C50" i="6"/>
  <c r="R55" i="6"/>
  <c r="G24" i="5"/>
  <c r="U29" i="6"/>
  <c r="E6" i="5"/>
  <c r="C45" i="12" s="1"/>
  <c r="E15" i="5"/>
  <c r="E24" i="5"/>
  <c r="K38" i="5"/>
  <c r="E42" i="5"/>
  <c r="V31" i="6"/>
  <c r="V36" i="6"/>
  <c r="R39" i="6"/>
  <c r="H51" i="6"/>
  <c r="U61" i="6"/>
  <c r="R65" i="6"/>
  <c r="Q65" i="6"/>
  <c r="U53" i="6"/>
  <c r="N33" i="6"/>
  <c r="U35" i="6"/>
  <c r="R58" i="6"/>
  <c r="B19" i="7"/>
  <c r="R48" i="6"/>
  <c r="D6" i="1"/>
  <c r="B88" i="12"/>
  <c r="G30" i="5"/>
  <c r="F30" i="5"/>
  <c r="J57" i="1"/>
  <c r="N65" i="6"/>
  <c r="N57" i="6"/>
  <c r="N34" i="6"/>
  <c r="N63" i="6"/>
  <c r="N62" i="6"/>
  <c r="P23" i="6"/>
  <c r="G65" i="1"/>
  <c r="F15" i="5"/>
  <c r="F24" i="5"/>
  <c r="K53" i="1" s="1"/>
  <c r="F44" i="5"/>
  <c r="B56" i="5"/>
  <c r="N24" i="6"/>
  <c r="O24" i="6" s="1"/>
  <c r="V25" i="6"/>
  <c r="N28" i="6"/>
  <c r="R30" i="6"/>
  <c r="Q30" i="6"/>
  <c r="U31" i="6"/>
  <c r="U37" i="6"/>
  <c r="U38" i="6"/>
  <c r="R40" i="6"/>
  <c r="U41" i="6"/>
  <c r="V44" i="6"/>
  <c r="D57" i="6"/>
  <c r="C57" i="6"/>
  <c r="V60" i="6"/>
  <c r="V61" i="6"/>
  <c r="N69" i="6"/>
  <c r="H69" i="6"/>
  <c r="N70" i="6"/>
  <c r="P70" i="6"/>
  <c r="H63" i="6"/>
  <c r="V66" i="6"/>
  <c r="D13" i="7"/>
  <c r="C19" i="7" s="1"/>
  <c r="C13" i="7"/>
  <c r="C18" i="7" s="1"/>
  <c r="V59" i="6"/>
  <c r="B13" i="7"/>
  <c r="E13" i="7" s="1"/>
  <c r="B39" i="12"/>
  <c r="H28" i="6"/>
  <c r="N39" i="6"/>
  <c r="H39" i="6"/>
  <c r="V40" i="6"/>
  <c r="R53" i="6"/>
  <c r="N58" i="6"/>
  <c r="U60" i="6"/>
  <c r="U69" i="6"/>
  <c r="R29" i="6"/>
  <c r="U71" i="6"/>
  <c r="U72" i="6"/>
  <c r="E58" i="12"/>
  <c r="D58" i="12"/>
  <c r="C58" i="12"/>
  <c r="B58" i="12"/>
  <c r="C45" i="7"/>
  <c r="C47" i="7"/>
  <c r="P45" i="6"/>
  <c r="R69" i="6"/>
  <c r="V71" i="6"/>
  <c r="H36" i="6"/>
  <c r="H52" i="6"/>
  <c r="P62" i="6"/>
  <c r="C26" i="10"/>
  <c r="C25" i="10"/>
  <c r="C23" i="10"/>
  <c r="B35" i="12"/>
  <c r="D35" i="12"/>
  <c r="C35" i="12"/>
  <c r="D14" i="11"/>
  <c r="C64" i="6"/>
  <c r="U64" i="6"/>
  <c r="R68" i="6"/>
  <c r="D14" i="7"/>
  <c r="C14" i="7"/>
  <c r="B14" i="7"/>
  <c r="B15" i="11"/>
  <c r="D54" i="12"/>
  <c r="C54" i="12"/>
  <c r="E54" i="12"/>
  <c r="N36" i="6"/>
  <c r="O36" i="6" s="1"/>
  <c r="N52" i="6"/>
  <c r="D9" i="7"/>
  <c r="B54" i="12"/>
  <c r="B21" i="10"/>
  <c r="B9" i="10"/>
  <c r="B10" i="10"/>
  <c r="B7" i="10"/>
  <c r="E21" i="10"/>
  <c r="B37" i="10"/>
  <c r="B38" i="10" s="1"/>
  <c r="B41" i="10" s="1"/>
  <c r="D21" i="10"/>
  <c r="A21" i="11"/>
  <c r="D18" i="11"/>
  <c r="E18" i="11" s="1"/>
  <c r="G18" i="11"/>
  <c r="F18" i="11"/>
  <c r="E55" i="12"/>
  <c r="T69" i="6"/>
  <c r="V69" i="6" s="1"/>
  <c r="T72" i="6"/>
  <c r="V72" i="6" s="1"/>
  <c r="S63" i="6"/>
  <c r="U63" i="6" s="1"/>
  <c r="T26" i="6"/>
  <c r="V35" i="6" s="1"/>
  <c r="T34" i="6"/>
  <c r="T42" i="6"/>
  <c r="V42" i="6" s="1"/>
  <c r="T50" i="6"/>
  <c r="V50" i="6" s="1"/>
  <c r="P67" i="6"/>
  <c r="S68" i="6"/>
  <c r="U68" i="6" s="1"/>
  <c r="B36" i="12"/>
  <c r="D36" i="12"/>
  <c r="G20" i="11"/>
  <c r="F20" i="11"/>
  <c r="D20" i="11"/>
  <c r="E20" i="11" s="1"/>
  <c r="B40" i="10"/>
  <c r="D38" i="12"/>
  <c r="C38" i="12"/>
  <c r="B38" i="12"/>
  <c r="B56" i="12"/>
  <c r="D107" i="12"/>
  <c r="E57" i="12"/>
  <c r="T10" i="13"/>
  <c r="D57" i="12"/>
  <c r="B23" i="7" l="1"/>
  <c r="B24" i="7" s="1"/>
  <c r="H4" i="6"/>
  <c r="K26" i="12"/>
  <c r="O47" i="6"/>
  <c r="E15" i="7"/>
  <c r="D25" i="10"/>
  <c r="D23" i="10"/>
  <c r="D26" i="10"/>
  <c r="E14" i="7"/>
  <c r="F6" i="5"/>
  <c r="V54" i="6"/>
  <c r="B63" i="7"/>
  <c r="B83" i="7"/>
  <c r="B87" i="7"/>
  <c r="P65" i="6"/>
  <c r="P68" i="6"/>
  <c r="P58" i="6"/>
  <c r="P39" i="6"/>
  <c r="P57" i="6"/>
  <c r="P53" i="6"/>
  <c r="P63" i="6"/>
  <c r="P36" i="6"/>
  <c r="P66" i="6"/>
  <c r="P29" i="6"/>
  <c r="P49" i="6"/>
  <c r="P28" i="6"/>
  <c r="P51" i="6"/>
  <c r="P34" i="6"/>
  <c r="P52" i="6"/>
  <c r="P33" i="6"/>
  <c r="P50" i="6"/>
  <c r="P35" i="6"/>
  <c r="P55" i="6"/>
  <c r="P42" i="6"/>
  <c r="O64" i="6"/>
  <c r="D36" i="7"/>
  <c r="B34" i="7"/>
  <c r="D33" i="7"/>
  <c r="B31" i="7"/>
  <c r="C33" i="7"/>
  <c r="B35" i="7"/>
  <c r="D32" i="7"/>
  <c r="D37" i="7"/>
  <c r="C32" i="7"/>
  <c r="C36" i="7"/>
  <c r="D28" i="7"/>
  <c r="C28" i="7"/>
  <c r="B30" i="7"/>
  <c r="C29" i="7"/>
  <c r="B29" i="7"/>
  <c r="C34" i="7"/>
  <c r="C31" i="7"/>
  <c r="B28" i="7"/>
  <c r="D35" i="7"/>
  <c r="B36" i="7"/>
  <c r="C35" i="7"/>
  <c r="B32" i="7"/>
  <c r="D29" i="7"/>
  <c r="C30" i="7"/>
  <c r="B33" i="7"/>
  <c r="C37" i="7"/>
  <c r="D34" i="7"/>
  <c r="D31" i="7"/>
  <c r="B37" i="7"/>
  <c r="D30" i="7"/>
  <c r="F42" i="5"/>
  <c r="E8" i="7"/>
  <c r="O58" i="6"/>
  <c r="O51" i="6"/>
  <c r="P48" i="6"/>
  <c r="B76" i="7"/>
  <c r="B84" i="7"/>
  <c r="B60" i="7"/>
  <c r="P25" i="6"/>
  <c r="V28" i="6"/>
  <c r="V30" i="6"/>
  <c r="C27" i="10"/>
  <c r="C24" i="10"/>
  <c r="O71" i="6"/>
  <c r="L6" i="1"/>
  <c r="O41" i="6"/>
  <c r="D14" i="6" s="1"/>
  <c r="O44" i="6"/>
  <c r="F46" i="5"/>
  <c r="O55" i="6"/>
  <c r="O62" i="6"/>
  <c r="B50" i="7"/>
  <c r="O63" i="6"/>
  <c r="B75" i="7"/>
  <c r="V49" i="6"/>
  <c r="B64" i="7"/>
  <c r="B81" i="7"/>
  <c r="B56" i="7"/>
  <c r="K27" i="12"/>
  <c r="O45" i="6"/>
  <c r="F41" i="5"/>
  <c r="O43" i="6"/>
  <c r="C14" i="6" s="1"/>
  <c r="P61" i="6"/>
  <c r="V34" i="6"/>
  <c r="V46" i="6"/>
  <c r="O39" i="6"/>
  <c r="E6" i="7"/>
  <c r="O34" i="6"/>
  <c r="O35" i="6"/>
  <c r="E18" i="5"/>
  <c r="B65" i="7"/>
  <c r="B90" i="7"/>
  <c r="B72" i="7"/>
  <c r="V29" i="6"/>
  <c r="C74" i="7" s="1"/>
  <c r="P30" i="6"/>
  <c r="V47" i="6"/>
  <c r="C83" i="7"/>
  <c r="O26" i="6"/>
  <c r="K29" i="12"/>
  <c r="P37" i="6"/>
  <c r="U70" i="6"/>
  <c r="O48" i="6"/>
  <c r="O54" i="6"/>
  <c r="B47" i="7"/>
  <c r="E11" i="5"/>
  <c r="B5" i="4" s="1"/>
  <c r="B5" i="2"/>
  <c r="F8" i="5"/>
  <c r="C8" i="4"/>
  <c r="F9" i="5"/>
  <c r="O33" i="6"/>
  <c r="B79" i="7"/>
  <c r="B88" i="7"/>
  <c r="O30" i="6"/>
  <c r="O29" i="6"/>
  <c r="B15" i="6" s="1"/>
  <c r="P26" i="6"/>
  <c r="O37" i="6"/>
  <c r="C5" i="12"/>
  <c r="E105" i="12"/>
  <c r="E103" i="12"/>
  <c r="D108" i="12"/>
  <c r="E106" i="12"/>
  <c r="E104" i="12"/>
  <c r="B78" i="7"/>
  <c r="O68" i="6"/>
  <c r="O32" i="6"/>
  <c r="E11" i="7"/>
  <c r="O61" i="6"/>
  <c r="V26" i="6"/>
  <c r="C82" i="7" s="1"/>
  <c r="V38" i="6"/>
  <c r="V70" i="6"/>
  <c r="V32" i="6"/>
  <c r="V37" i="6"/>
  <c r="B59" i="7"/>
  <c r="P72" i="6"/>
  <c r="V41" i="6"/>
  <c r="C71" i="7" s="1"/>
  <c r="K31" i="12"/>
  <c r="O70" i="6"/>
  <c r="O28" i="6"/>
  <c r="O65" i="6"/>
  <c r="F45" i="5"/>
  <c r="B73" i="7"/>
  <c r="O67" i="6"/>
  <c r="V39" i="6"/>
  <c r="F17" i="5"/>
  <c r="C14" i="4" s="1"/>
  <c r="O66" i="6"/>
  <c r="V27" i="6"/>
  <c r="C61" i="7" s="1"/>
  <c r="O46" i="6"/>
  <c r="F8" i="1"/>
  <c r="B25" i="10"/>
  <c r="B26" i="10"/>
  <c r="B23" i="10"/>
  <c r="O57" i="6"/>
  <c r="T16" i="13"/>
  <c r="P32" i="6"/>
  <c r="K23" i="12"/>
  <c r="V63" i="6"/>
  <c r="K22" i="12"/>
  <c r="E7" i="7"/>
  <c r="E9" i="7"/>
  <c r="B17" i="7"/>
  <c r="C16" i="4" s="1"/>
  <c r="E12" i="7"/>
  <c r="B61" i="7"/>
  <c r="B85" i="7"/>
  <c r="B48" i="7"/>
  <c r="B82" i="7"/>
  <c r="B49" i="7"/>
  <c r="B74" i="7"/>
  <c r="B69" i="7"/>
  <c r="B51" i="7"/>
  <c r="B86" i="7"/>
  <c r="O60" i="6"/>
  <c r="C60" i="7"/>
  <c r="O53" i="6"/>
  <c r="O59" i="6"/>
  <c r="E33" i="5"/>
  <c r="F31" i="5"/>
  <c r="K58" i="1" s="1"/>
  <c r="H11" i="6"/>
  <c r="E9" i="6"/>
  <c r="B18" i="6"/>
  <c r="D11" i="6"/>
  <c r="H16" i="6"/>
  <c r="H18" i="6"/>
  <c r="C16" i="6"/>
  <c r="F7" i="5"/>
  <c r="C17" i="4" s="1"/>
  <c r="B7" i="2"/>
  <c r="C9" i="4"/>
  <c r="O31" i="6"/>
  <c r="D9" i="6" s="1"/>
  <c r="B70" i="7"/>
  <c r="E23" i="10"/>
  <c r="E25" i="10"/>
  <c r="E26" i="10"/>
  <c r="B91" i="7"/>
  <c r="V55" i="6"/>
  <c r="E102" i="12"/>
  <c r="V64" i="6"/>
  <c r="P69" i="6"/>
  <c r="K57" i="1"/>
  <c r="F33" i="5"/>
  <c r="B66" i="7"/>
  <c r="B45" i="7"/>
  <c r="V51" i="6"/>
  <c r="K51" i="1"/>
  <c r="F26" i="5"/>
  <c r="P60" i="6"/>
  <c r="V52" i="6"/>
  <c r="O40" i="6"/>
  <c r="C21" i="4"/>
  <c r="O72" i="6"/>
  <c r="O38" i="6"/>
  <c r="E16" i="6" s="1"/>
  <c r="E47" i="5"/>
  <c r="F40" i="5"/>
  <c r="C15" i="4"/>
  <c r="F39" i="5"/>
  <c r="F37" i="5"/>
  <c r="A6" i="12"/>
  <c r="E66" i="1"/>
  <c r="C61" i="5"/>
  <c r="B61" i="5"/>
  <c r="H61" i="5" s="1"/>
  <c r="K61" i="5"/>
  <c r="A62" i="5"/>
  <c r="B5" i="12"/>
  <c r="G60" i="5"/>
  <c r="D5" i="12" s="1"/>
  <c r="I60" i="5"/>
  <c r="F5" i="12" s="1"/>
  <c r="K24" i="12"/>
  <c r="F18" i="5"/>
  <c r="B80" i="7"/>
  <c r="O42" i="6"/>
  <c r="K30" i="12"/>
  <c r="B77" i="7"/>
  <c r="K25" i="12"/>
  <c r="B94" i="7"/>
  <c r="J7" i="2"/>
  <c r="J5" i="2"/>
  <c r="V65" i="6"/>
  <c r="O49" i="6"/>
  <c r="F38" i="5"/>
  <c r="E101" i="12"/>
  <c r="O52" i="6"/>
  <c r="O69" i="6"/>
  <c r="P24" i="6"/>
  <c r="E96" i="12" s="1"/>
  <c r="B8" i="1"/>
  <c r="D8" i="1"/>
  <c r="H6" i="1"/>
  <c r="B11" i="1" s="1"/>
  <c r="B18" i="7"/>
  <c r="H13" i="1"/>
  <c r="H11" i="1"/>
  <c r="B71" i="7"/>
  <c r="B54" i="7"/>
  <c r="O50" i="6"/>
  <c r="V43" i="6"/>
  <c r="O56" i="6"/>
  <c r="V33" i="6"/>
  <c r="P59" i="6"/>
  <c r="K60" i="5"/>
  <c r="V45" i="6"/>
  <c r="B74" i="12" l="1"/>
  <c r="E51" i="1"/>
  <c r="L13" i="1"/>
  <c r="F9" i="6"/>
  <c r="F74" i="7"/>
  <c r="F71" i="7"/>
  <c r="J46" i="7"/>
  <c r="I46" i="7"/>
  <c r="B31" i="8"/>
  <c r="A30" i="8"/>
  <c r="A79" i="12"/>
  <c r="H45" i="7"/>
  <c r="F47" i="7"/>
  <c r="B79" i="12"/>
  <c r="F14" i="6"/>
  <c r="D10" i="6"/>
  <c r="H12" i="6"/>
  <c r="C15" i="6"/>
  <c r="C9" i="6"/>
  <c r="G61" i="5"/>
  <c r="D6" i="12" s="1"/>
  <c r="B16" i="6"/>
  <c r="E14" i="6"/>
  <c r="H14" i="6"/>
  <c r="E95" i="12"/>
  <c r="H15" i="6"/>
  <c r="C11" i="6"/>
  <c r="C69" i="7"/>
  <c r="F69" i="7" s="1"/>
  <c r="B17" i="6"/>
  <c r="E11" i="6"/>
  <c r="F53" i="1" s="1"/>
  <c r="I49" i="7"/>
  <c r="J49" i="7"/>
  <c r="B34" i="8"/>
  <c r="D27" i="10"/>
  <c r="D24" i="10"/>
  <c r="H9" i="6"/>
  <c r="E10" i="6"/>
  <c r="F52" i="1" s="1"/>
  <c r="D17" i="6"/>
  <c r="C84" i="7"/>
  <c r="F84" i="7" s="1"/>
  <c r="C86" i="7"/>
  <c r="F86" i="7" s="1"/>
  <c r="C63" i="7"/>
  <c r="C57" i="7"/>
  <c r="C90" i="7"/>
  <c r="C56" i="7"/>
  <c r="C88" i="7"/>
  <c r="C89" i="7"/>
  <c r="F89" i="7" s="1"/>
  <c r="C67" i="7"/>
  <c r="F67" i="7" s="1"/>
  <c r="C55" i="7"/>
  <c r="F55" i="7" s="1"/>
  <c r="C80" i="7"/>
  <c r="F80" i="7" s="1"/>
  <c r="C54" i="7"/>
  <c r="C87" i="7"/>
  <c r="F87" i="7" s="1"/>
  <c r="C76" i="7"/>
  <c r="F76" i="7" s="1"/>
  <c r="C62" i="7"/>
  <c r="F62" i="7" s="1"/>
  <c r="C85" i="7"/>
  <c r="F85" i="7" s="1"/>
  <c r="C48" i="7"/>
  <c r="C50" i="7"/>
  <c r="F50" i="7" s="1"/>
  <c r="C68" i="7"/>
  <c r="C66" i="7"/>
  <c r="C59" i="7"/>
  <c r="C52" i="7"/>
  <c r="C53" i="7"/>
  <c r="C92" i="7"/>
  <c r="F92" i="7" s="1"/>
  <c r="C73" i="7"/>
  <c r="F73" i="7" s="1"/>
  <c r="C49" i="7"/>
  <c r="F49" i="7" s="1"/>
  <c r="C65" i="7"/>
  <c r="F65" i="7" s="1"/>
  <c r="C94" i="7"/>
  <c r="F94" i="7" s="1"/>
  <c r="C78" i="7"/>
  <c r="F78" i="7" s="1"/>
  <c r="C58" i="7"/>
  <c r="F58" i="7" s="1"/>
  <c r="C91" i="7"/>
  <c r="F91" i="7" s="1"/>
  <c r="C77" i="7"/>
  <c r="F77" i="7" s="1"/>
  <c r="C79" i="7"/>
  <c r="F79" i="7" s="1"/>
  <c r="C64" i="7"/>
  <c r="F64" i="7" s="1"/>
  <c r="C75" i="7"/>
  <c r="C72" i="7"/>
  <c r="C70" i="7"/>
  <c r="D61" i="5"/>
  <c r="E18" i="6"/>
  <c r="E13" i="6"/>
  <c r="F55" i="1" s="1"/>
  <c r="H10" i="6"/>
  <c r="T19" i="13"/>
  <c r="E17" i="6"/>
  <c r="C17" i="6"/>
  <c r="E3" i="6"/>
  <c r="C19" i="4"/>
  <c r="R5" i="2"/>
  <c r="F11" i="1"/>
  <c r="F66" i="1"/>
  <c r="G66" i="1"/>
  <c r="D18" i="6"/>
  <c r="B13" i="6"/>
  <c r="D16" i="6"/>
  <c r="C13" i="6"/>
  <c r="B92" i="7"/>
  <c r="B89" i="7"/>
  <c r="F45" i="7" s="1"/>
  <c r="C81" i="7"/>
  <c r="F81" i="7" s="1"/>
  <c r="A81" i="12"/>
  <c r="H47" i="7"/>
  <c r="A32" i="8"/>
  <c r="F83" i="7"/>
  <c r="D30" i="12"/>
  <c r="D28" i="12"/>
  <c r="D26" i="12"/>
  <c r="D24" i="12"/>
  <c r="D22" i="12"/>
  <c r="C30" i="12"/>
  <c r="C28" i="12"/>
  <c r="C26" i="12"/>
  <c r="C24" i="12"/>
  <c r="C22" i="12"/>
  <c r="B31" i="12"/>
  <c r="E31" i="12" s="1"/>
  <c r="B24" i="12"/>
  <c r="E24" i="12" s="1"/>
  <c r="B28" i="12"/>
  <c r="E28" i="12" s="1"/>
  <c r="C31" i="12"/>
  <c r="B26" i="12"/>
  <c r="E26" i="12" s="1"/>
  <c r="D25" i="12"/>
  <c r="D31" i="12"/>
  <c r="C25" i="12"/>
  <c r="B25" i="12"/>
  <c r="E25" i="12" s="1"/>
  <c r="B30" i="12"/>
  <c r="E30" i="12" s="1"/>
  <c r="B22" i="12"/>
  <c r="E22" i="12" s="1"/>
  <c r="B27" i="12"/>
  <c r="E27" i="12" s="1"/>
  <c r="C29" i="12"/>
  <c r="B29" i="12"/>
  <c r="E29" i="12" s="1"/>
  <c r="B23" i="12"/>
  <c r="E23" i="12" s="1"/>
  <c r="C23" i="12"/>
  <c r="D29" i="12"/>
  <c r="C27" i="12"/>
  <c r="D23" i="12"/>
  <c r="D27" i="12"/>
  <c r="C93" i="7"/>
  <c r="F93" i="7" s="1"/>
  <c r="D12" i="6"/>
  <c r="A7" i="12"/>
  <c r="A63" i="5"/>
  <c r="E67" i="1"/>
  <c r="B62" i="5"/>
  <c r="H62" i="5" s="1"/>
  <c r="D15" i="6"/>
  <c r="B10" i="6"/>
  <c r="B6" i="12"/>
  <c r="I61" i="5"/>
  <c r="F6" i="12" s="1"/>
  <c r="F61" i="5"/>
  <c r="B12" i="6"/>
  <c r="E61" i="5"/>
  <c r="C10" i="6"/>
  <c r="D13" i="6"/>
  <c r="B11" i="6"/>
  <c r="E15" i="6"/>
  <c r="B24" i="10"/>
  <c r="B27" i="10"/>
  <c r="F51" i="1"/>
  <c r="B14" i="6"/>
  <c r="E6" i="12"/>
  <c r="E12" i="6"/>
  <c r="F54" i="1" s="1"/>
  <c r="C18" i="6"/>
  <c r="B9" i="6"/>
  <c r="H17" i="6"/>
  <c r="D79" i="7"/>
  <c r="F11" i="5"/>
  <c r="B93" i="7"/>
  <c r="B76" i="12"/>
  <c r="F11" i="6"/>
  <c r="G53" i="1" s="1"/>
  <c r="E53" i="1"/>
  <c r="E24" i="10"/>
  <c r="E27" i="10"/>
  <c r="F5" i="2"/>
  <c r="C11" i="4"/>
  <c r="E107" i="12"/>
  <c r="E4" i="6"/>
  <c r="E5" i="6" s="1"/>
  <c r="F46" i="7"/>
  <c r="D94" i="7"/>
  <c r="E94" i="7"/>
  <c r="F47" i="5"/>
  <c r="D91" i="7"/>
  <c r="E91" i="7"/>
  <c r="C12" i="6"/>
  <c r="H13" i="6"/>
  <c r="C51" i="7"/>
  <c r="B81" i="12" l="1"/>
  <c r="F16" i="6"/>
  <c r="F48" i="7"/>
  <c r="F42" i="7" s="1"/>
  <c r="D67" i="7"/>
  <c r="E53" i="7"/>
  <c r="D46" i="7"/>
  <c r="E67" i="7"/>
  <c r="E55" i="7"/>
  <c r="E46" i="7"/>
  <c r="D68" i="7"/>
  <c r="E58" i="7"/>
  <c r="D57" i="7"/>
  <c r="D53" i="7"/>
  <c r="E57" i="7"/>
  <c r="D55" i="7"/>
  <c r="D58" i="7"/>
  <c r="E62" i="7"/>
  <c r="E52" i="7"/>
  <c r="E68" i="7"/>
  <c r="D52" i="7"/>
  <c r="D62" i="7"/>
  <c r="B82" i="12"/>
  <c r="F17" i="6"/>
  <c r="B25" i="8"/>
  <c r="J40" i="7"/>
  <c r="I40" i="7"/>
  <c r="E45" i="7"/>
  <c r="E48" i="7"/>
  <c r="D85" i="7"/>
  <c r="E56" i="7"/>
  <c r="E75" i="7"/>
  <c r="E59" i="7"/>
  <c r="D31" i="8"/>
  <c r="E31" i="8"/>
  <c r="C31" i="8"/>
  <c r="J43" i="7"/>
  <c r="I43" i="7"/>
  <c r="B28" i="8"/>
  <c r="J41" i="7"/>
  <c r="I41" i="7"/>
  <c r="B26" i="8"/>
  <c r="E63" i="7"/>
  <c r="E71" i="7"/>
  <c r="D83" i="7"/>
  <c r="F54" i="7"/>
  <c r="D59" i="7"/>
  <c r="A77" i="12"/>
  <c r="A28" i="8"/>
  <c r="H43" i="7"/>
  <c r="C54" i="1"/>
  <c r="B29" i="8"/>
  <c r="J44" i="7"/>
  <c r="I44" i="7"/>
  <c r="D64" i="7"/>
  <c r="D48" i="7"/>
  <c r="D75" i="7"/>
  <c r="D71" i="7"/>
  <c r="E84" i="7"/>
  <c r="E34" i="8"/>
  <c r="C34" i="8"/>
  <c r="D34" i="8"/>
  <c r="D72" i="7"/>
  <c r="D56" i="7"/>
  <c r="E86" i="7"/>
  <c r="D84" i="7"/>
  <c r="D65" i="7"/>
  <c r="E60" i="7"/>
  <c r="I45" i="7"/>
  <c r="B30" i="8"/>
  <c r="J45" i="7"/>
  <c r="D54" i="7"/>
  <c r="D74" i="7"/>
  <c r="E62" i="5"/>
  <c r="E92" i="7"/>
  <c r="D92" i="7"/>
  <c r="E54" i="7"/>
  <c r="F52" i="7"/>
  <c r="F56" i="7"/>
  <c r="D87" i="7"/>
  <c r="I47" i="7"/>
  <c r="J47" i="7"/>
  <c r="B32" i="8"/>
  <c r="G14" i="6"/>
  <c r="C79" i="12" s="1"/>
  <c r="G16" i="6"/>
  <c r="C81" i="12" s="1"/>
  <c r="G51" i="1"/>
  <c r="G9" i="6"/>
  <c r="C74" i="12" s="1"/>
  <c r="E64" i="7"/>
  <c r="E77" i="7"/>
  <c r="E72" i="7"/>
  <c r="E85" i="7"/>
  <c r="B80" i="12"/>
  <c r="F15" i="6"/>
  <c r="G17" i="6" s="1"/>
  <c r="C82" i="12" s="1"/>
  <c r="E50" i="7"/>
  <c r="E65" i="7"/>
  <c r="C62" i="5"/>
  <c r="E73" i="7"/>
  <c r="D50" i="7"/>
  <c r="E80" i="7"/>
  <c r="E93" i="7"/>
  <c r="D93" i="7"/>
  <c r="D88" i="7"/>
  <c r="F88" i="7"/>
  <c r="B75" i="12"/>
  <c r="F10" i="6"/>
  <c r="G52" i="1" s="1"/>
  <c r="E52" i="1"/>
  <c r="D76" i="7"/>
  <c r="K62" i="5"/>
  <c r="F70" i="7"/>
  <c r="F59" i="7"/>
  <c r="F90" i="7"/>
  <c r="E87" i="7"/>
  <c r="D19" i="6"/>
  <c r="A75" i="12"/>
  <c r="A26" i="8"/>
  <c r="C52" i="1"/>
  <c r="H41" i="7"/>
  <c r="E51" i="7"/>
  <c r="B83" i="12"/>
  <c r="F18" i="6"/>
  <c r="D86" i="7"/>
  <c r="E83" i="7"/>
  <c r="A80" i="12"/>
  <c r="H46" i="7"/>
  <c r="A31" i="8"/>
  <c r="C6" i="12"/>
  <c r="D47" i="7"/>
  <c r="E89" i="7"/>
  <c r="D89" i="7"/>
  <c r="F53" i="7"/>
  <c r="F61" i="7"/>
  <c r="E47" i="7"/>
  <c r="E81" i="7"/>
  <c r="E76" i="7"/>
  <c r="D70" i="7"/>
  <c r="A8" i="12"/>
  <c r="B63" i="5"/>
  <c r="H63" i="5" s="1"/>
  <c r="E68" i="1"/>
  <c r="A64" i="5"/>
  <c r="E63" i="5"/>
  <c r="D61" i="7"/>
  <c r="A82" i="12"/>
  <c r="A33" i="8"/>
  <c r="H48" i="7"/>
  <c r="F72" i="7"/>
  <c r="F66" i="7"/>
  <c r="F57" i="7"/>
  <c r="E66" i="7"/>
  <c r="T20" i="13"/>
  <c r="A76" i="12"/>
  <c r="C53" i="1"/>
  <c r="H42" i="7"/>
  <c r="A27" i="8"/>
  <c r="A83" i="12"/>
  <c r="H49" i="7"/>
  <c r="A34" i="8"/>
  <c r="D45" i="7"/>
  <c r="A74" i="12"/>
  <c r="A25" i="8"/>
  <c r="H40" i="7"/>
  <c r="C51" i="1"/>
  <c r="L11" i="1"/>
  <c r="D63" i="7"/>
  <c r="D73" i="7"/>
  <c r="D82" i="7"/>
  <c r="D60" i="7"/>
  <c r="E82" i="7"/>
  <c r="E88" i="7"/>
  <c r="F67" i="1"/>
  <c r="G67" i="1"/>
  <c r="D80" i="7"/>
  <c r="E74" i="7"/>
  <c r="D62" i="5"/>
  <c r="C7" i="12" s="1"/>
  <c r="F51" i="7"/>
  <c r="D81" i="7"/>
  <c r="E70" i="7"/>
  <c r="E78" i="7"/>
  <c r="D69" i="7"/>
  <c r="F60" i="7"/>
  <c r="B27" i="8"/>
  <c r="I42" i="7"/>
  <c r="J42" i="7"/>
  <c r="E61" i="7"/>
  <c r="D90" i="7"/>
  <c r="F75" i="7"/>
  <c r="F68" i="7"/>
  <c r="F63" i="7"/>
  <c r="D49" i="7"/>
  <c r="D77" i="7"/>
  <c r="D51" i="7"/>
  <c r="D78" i="7"/>
  <c r="E69" i="7"/>
  <c r="E79" i="7"/>
  <c r="E19" i="6"/>
  <c r="B78" i="12"/>
  <c r="F13" i="6"/>
  <c r="G55" i="1" s="1"/>
  <c r="E55" i="1"/>
  <c r="B77" i="12"/>
  <c r="E54" i="1"/>
  <c r="F12" i="6"/>
  <c r="G54" i="1" s="1"/>
  <c r="D66" i="7"/>
  <c r="A78" i="12"/>
  <c r="H44" i="7"/>
  <c r="A29" i="8"/>
  <c r="C55" i="1"/>
  <c r="E90" i="7"/>
  <c r="B33" i="8"/>
  <c r="J48" i="7"/>
  <c r="I48" i="7"/>
  <c r="E49" i="7"/>
  <c r="F82" i="7"/>
  <c r="F31" i="8" l="1"/>
  <c r="D32" i="8"/>
  <c r="C32" i="8"/>
  <c r="E32" i="8"/>
  <c r="D63" i="5"/>
  <c r="C8" i="12" s="1"/>
  <c r="C30" i="8"/>
  <c r="E30" i="8"/>
  <c r="D30" i="8"/>
  <c r="C63" i="5"/>
  <c r="D28" i="8"/>
  <c r="C28" i="8"/>
  <c r="E28" i="8"/>
  <c r="E25" i="8"/>
  <c r="D25" i="8"/>
  <c r="C25" i="8"/>
  <c r="K63" i="5"/>
  <c r="G13" i="6"/>
  <c r="C78" i="12" s="1"/>
  <c r="B64" i="5"/>
  <c r="H64" i="5" s="1"/>
  <c r="E69" i="1"/>
  <c r="A65" i="5"/>
  <c r="A9" i="12"/>
  <c r="C29" i="8"/>
  <c r="E29" i="8"/>
  <c r="D29" i="8"/>
  <c r="G12" i="6"/>
  <c r="C77" i="12" s="1"/>
  <c r="T22" i="13"/>
  <c r="G10" i="6"/>
  <c r="C75" i="12" s="1"/>
  <c r="E33" i="8"/>
  <c r="D33" i="8"/>
  <c r="C33" i="8"/>
  <c r="E26" i="8"/>
  <c r="C26" i="8"/>
  <c r="D26" i="8"/>
  <c r="F68" i="1"/>
  <c r="G68" i="1"/>
  <c r="B42" i="7"/>
  <c r="B7" i="12"/>
  <c r="I62" i="5"/>
  <c r="F7" i="12" s="1"/>
  <c r="F62" i="5"/>
  <c r="E7" i="12" s="1"/>
  <c r="G62" i="5"/>
  <c r="D7" i="12" s="1"/>
  <c r="F19" i="6"/>
  <c r="N7" i="2" s="1"/>
  <c r="F34" i="8"/>
  <c r="E27" i="8"/>
  <c r="D27" i="8"/>
  <c r="C27" i="8"/>
  <c r="F27" i="8" s="1"/>
  <c r="D42" i="7"/>
  <c r="G15" i="6"/>
  <c r="C80" i="12" s="1"/>
  <c r="G18" i="6"/>
  <c r="G11" i="6"/>
  <c r="C76" i="12" s="1"/>
  <c r="G69" i="1" l="1"/>
  <c r="F69" i="1"/>
  <c r="D64" i="5"/>
  <c r="F25" i="8"/>
  <c r="E64" i="5"/>
  <c r="C64" i="5"/>
  <c r="F30" i="8"/>
  <c r="F32" i="8"/>
  <c r="B8" i="12"/>
  <c r="I63" i="5"/>
  <c r="F8" i="12" s="1"/>
  <c r="F63" i="5"/>
  <c r="G63" i="5"/>
  <c r="D8" i="12" s="1"/>
  <c r="K64" i="5"/>
  <c r="F28" i="8"/>
  <c r="T23" i="13"/>
  <c r="T26" i="13" s="1"/>
  <c r="F26" i="8"/>
  <c r="C83" i="12"/>
  <c r="C18" i="4"/>
  <c r="F33" i="8"/>
  <c r="E8" i="12"/>
  <c r="F29" i="8"/>
  <c r="A10" i="12"/>
  <c r="E70" i="1"/>
  <c r="A66" i="5"/>
  <c r="B65" i="5"/>
  <c r="H65" i="5" s="1"/>
  <c r="I64" i="5" l="1"/>
  <c r="F9" i="12" s="1"/>
  <c r="F64" i="5"/>
  <c r="B9" i="12"/>
  <c r="E9" i="12"/>
  <c r="G64" i="5"/>
  <c r="D9" i="12" s="1"/>
  <c r="T51" i="13"/>
  <c r="T52" i="13" s="1"/>
  <c r="T58" i="13" s="1"/>
  <c r="T59" i="13" s="1"/>
  <c r="T66" i="13" s="1"/>
  <c r="K65" i="5"/>
  <c r="T39" i="13"/>
  <c r="T45" i="13" s="1"/>
  <c r="A11" i="12"/>
  <c r="C66" i="5"/>
  <c r="E71" i="1"/>
  <c r="B66" i="5"/>
  <c r="H66" i="5" s="1"/>
  <c r="K66" i="5"/>
  <c r="A67" i="5"/>
  <c r="C9" i="12"/>
  <c r="C65" i="5"/>
  <c r="D65" i="5"/>
  <c r="C10" i="12" s="1"/>
  <c r="F70" i="1"/>
  <c r="G70" i="1"/>
  <c r="E65" i="5"/>
  <c r="B10" i="12" l="1"/>
  <c r="I65" i="5"/>
  <c r="F10" i="12" s="1"/>
  <c r="F65" i="5"/>
  <c r="T95" i="13"/>
  <c r="T102" i="13" s="1"/>
  <c r="T105" i="13" s="1"/>
  <c r="T117" i="13" s="1"/>
  <c r="T118" i="13" s="1"/>
  <c r="T125" i="13" s="1"/>
  <c r="T128" i="13" s="1"/>
  <c r="T129" i="13" s="1"/>
  <c r="T130" i="13" s="1"/>
  <c r="T135" i="13" s="1"/>
  <c r="T136" i="13" s="1"/>
  <c r="T138" i="13" s="1"/>
  <c r="T149" i="13" s="1"/>
  <c r="T152" i="13" s="1"/>
  <c r="T153" i="13" s="1"/>
  <c r="T156" i="13" s="1"/>
  <c r="T158" i="13" s="1"/>
  <c r="T160" i="13" s="1"/>
  <c r="T165" i="13" s="1"/>
  <c r="T170" i="13" s="1"/>
  <c r="T184" i="13" s="1"/>
  <c r="T186" i="13" s="1"/>
  <c r="T188" i="13" s="1"/>
  <c r="T200" i="13" s="1"/>
  <c r="T202" i="13" s="1"/>
  <c r="T203" i="13" s="1"/>
  <c r="T214" i="13" s="1"/>
  <c r="T216" i="13" s="1"/>
  <c r="T227" i="13" s="1"/>
  <c r="T230" i="13" s="1"/>
  <c r="T232" i="13" s="1"/>
  <c r="T237" i="13" s="1"/>
  <c r="T238" i="13" s="1"/>
  <c r="T245" i="13" s="1"/>
  <c r="T246" i="13" s="1"/>
  <c r="T249" i="13" s="1"/>
  <c r="G65" i="5"/>
  <c r="D10" i="12" s="1"/>
  <c r="A12" i="12"/>
  <c r="C67" i="5"/>
  <c r="B67" i="5"/>
  <c r="H67" i="5" s="1"/>
  <c r="A68" i="5"/>
  <c r="K67" i="5"/>
  <c r="E67" i="5"/>
  <c r="E72" i="1"/>
  <c r="D67" i="5"/>
  <c r="C12" i="12" s="1"/>
  <c r="B11" i="12"/>
  <c r="F66" i="5"/>
  <c r="E11" i="12" s="1"/>
  <c r="I66" i="5"/>
  <c r="F11" i="12" s="1"/>
  <c r="D66" i="5"/>
  <c r="C11" i="12" s="1"/>
  <c r="G66" i="5"/>
  <c r="D11" i="12" s="1"/>
  <c r="E10" i="12"/>
  <c r="F71" i="1"/>
  <c r="G71" i="1"/>
  <c r="T76" i="13"/>
  <c r="T83" i="13" s="1"/>
  <c r="T84" i="13" s="1"/>
  <c r="T90" i="13" s="1"/>
  <c r="E66" i="5"/>
  <c r="F4" i="9" l="1"/>
  <c r="F5" i="9" s="1"/>
  <c r="C7" i="9"/>
  <c r="F72" i="1"/>
  <c r="G72" i="1"/>
  <c r="B12" i="12"/>
  <c r="I67" i="5"/>
  <c r="F12" i="12" s="1"/>
  <c r="F67" i="5"/>
  <c r="E12" i="12" s="1"/>
  <c r="G67" i="5"/>
  <c r="D12" i="12" s="1"/>
  <c r="A13" i="12"/>
  <c r="D68" i="5"/>
  <c r="C13" i="12" s="1"/>
  <c r="B68" i="5"/>
  <c r="H68" i="5" s="1"/>
  <c r="A69" i="5"/>
  <c r="K68" i="5"/>
  <c r="E73" i="1"/>
  <c r="A14" i="12" l="1"/>
  <c r="A70" i="5"/>
  <c r="E74" i="1"/>
  <c r="B69" i="5"/>
  <c r="H69" i="5" s="1"/>
  <c r="C69" i="5"/>
  <c r="C68" i="5"/>
  <c r="E68" i="5"/>
  <c r="A258" i="9"/>
  <c r="A242" i="9"/>
  <c r="A226" i="9"/>
  <c r="A210" i="9"/>
  <c r="A194" i="9"/>
  <c r="A178" i="9"/>
  <c r="A162" i="9"/>
  <c r="A259" i="9"/>
  <c r="A240" i="9"/>
  <c r="A223" i="9"/>
  <c r="A204" i="9"/>
  <c r="A187" i="9"/>
  <c r="A185" i="9"/>
  <c r="A168" i="9"/>
  <c r="A142" i="9"/>
  <c r="A257" i="9"/>
  <c r="A255" i="9"/>
  <c r="A253" i="9"/>
  <c r="A251" i="9"/>
  <c r="A224" i="9"/>
  <c r="A222" i="9"/>
  <c r="A220" i="9"/>
  <c r="A218" i="9"/>
  <c r="A216" i="9"/>
  <c r="A214" i="9"/>
  <c r="A212" i="9"/>
  <c r="A136" i="9"/>
  <c r="A249" i="9"/>
  <c r="A219" i="9"/>
  <c r="A170" i="9"/>
  <c r="A157" i="9"/>
  <c r="A123" i="9"/>
  <c r="A107" i="9"/>
  <c r="A91" i="9"/>
  <c r="A75" i="9"/>
  <c r="A59" i="9"/>
  <c r="A43" i="9"/>
  <c r="A27" i="9"/>
  <c r="A11" i="9"/>
  <c r="A244" i="9"/>
  <c r="A230" i="9"/>
  <c r="A207" i="9"/>
  <c r="A200" i="9"/>
  <c r="A189" i="9"/>
  <c r="A176" i="9"/>
  <c r="A163" i="9"/>
  <c r="A140" i="9"/>
  <c r="A138" i="9"/>
  <c r="A134" i="9"/>
  <c r="A112" i="9"/>
  <c r="A96" i="9"/>
  <c r="A80" i="9"/>
  <c r="A64" i="9"/>
  <c r="A48" i="9"/>
  <c r="A32" i="9"/>
  <c r="A16" i="9"/>
  <c r="A250" i="9"/>
  <c r="A234" i="9"/>
  <c r="A229" i="9"/>
  <c r="A221" i="9"/>
  <c r="A213" i="9"/>
  <c r="A160" i="9"/>
  <c r="A141" i="9"/>
  <c r="A105" i="9"/>
  <c r="A252" i="9"/>
  <c r="A193" i="9"/>
  <c r="A180" i="9"/>
  <c r="A172" i="9"/>
  <c r="A151" i="9"/>
  <c r="A146" i="9"/>
  <c r="A118" i="9"/>
  <c r="A94" i="9"/>
  <c r="A79" i="9"/>
  <c r="A30" i="9"/>
  <c r="A28" i="9"/>
  <c r="A26" i="9"/>
  <c r="A24" i="9"/>
  <c r="A22" i="9"/>
  <c r="A20" i="9"/>
  <c r="A232" i="9"/>
  <c r="A177" i="9"/>
  <c r="A169" i="9"/>
  <c r="A164" i="9"/>
  <c r="A156" i="9"/>
  <c r="A120" i="9"/>
  <c r="A81" i="9"/>
  <c r="A34" i="9"/>
  <c r="A243" i="9"/>
  <c r="A209" i="9"/>
  <c r="A195" i="9"/>
  <c r="A174" i="9"/>
  <c r="A153" i="9"/>
  <c r="A131" i="9"/>
  <c r="A124" i="9"/>
  <c r="A113" i="9"/>
  <c r="A87" i="9"/>
  <c r="A248" i="9"/>
  <c r="A154" i="9"/>
  <c r="A108" i="9"/>
  <c r="A100" i="9"/>
  <c r="A76" i="9"/>
  <c r="A66" i="9"/>
  <c r="A29" i="9"/>
  <c r="A15" i="9"/>
  <c r="A203" i="9"/>
  <c r="A183" i="9"/>
  <c r="A127" i="9"/>
  <c r="A92" i="9"/>
  <c r="A84" i="9"/>
  <c r="A71" i="9"/>
  <c r="A52" i="9"/>
  <c r="A38" i="9"/>
  <c r="A247" i="9"/>
  <c r="A83" i="9"/>
  <c r="A63" i="9"/>
  <c r="A49" i="9"/>
  <c r="A227" i="9"/>
  <c r="A201" i="9"/>
  <c r="A161" i="9"/>
  <c r="A149" i="9"/>
  <c r="A114" i="9"/>
  <c r="A57" i="9"/>
  <c r="A51" i="9"/>
  <c r="A231" i="9"/>
  <c r="A205" i="9"/>
  <c r="A145" i="9"/>
  <c r="A13" i="9"/>
  <c r="A239" i="9"/>
  <c r="A235" i="9"/>
  <c r="A192" i="9"/>
  <c r="A110" i="9"/>
  <c r="A97" i="9"/>
  <c r="A68" i="9"/>
  <c r="A65" i="9"/>
  <c r="A62" i="9"/>
  <c r="A45" i="9"/>
  <c r="A42" i="9"/>
  <c r="A246" i="9"/>
  <c r="A238" i="9"/>
  <c r="A225" i="9"/>
  <c r="A208" i="9"/>
  <c r="A191" i="9"/>
  <c r="A171" i="9"/>
  <c r="A109" i="9"/>
  <c r="A70" i="9"/>
  <c r="A47" i="9"/>
  <c r="A33" i="9"/>
  <c r="A17" i="9"/>
  <c r="A197" i="9"/>
  <c r="A186" i="9"/>
  <c r="A181" i="9"/>
  <c r="A165" i="9"/>
  <c r="A144" i="9"/>
  <c r="A125" i="9"/>
  <c r="A116" i="9"/>
  <c r="A103" i="9"/>
  <c r="A236" i="9"/>
  <c r="A202" i="9"/>
  <c r="A175" i="9"/>
  <c r="A159" i="9"/>
  <c r="A129" i="9"/>
  <c r="A89" i="9"/>
  <c r="A85" i="9"/>
  <c r="A31" i="9"/>
  <c r="A196" i="9"/>
  <c r="A143" i="9"/>
  <c r="A139" i="9"/>
  <c r="A115" i="9"/>
  <c r="A102" i="9"/>
  <c r="A98" i="9"/>
  <c r="A72" i="9"/>
  <c r="A60" i="9"/>
  <c r="A56" i="9"/>
  <c r="A41" i="9"/>
  <c r="A18" i="9"/>
  <c r="A206" i="9"/>
  <c r="A137" i="9"/>
  <c r="A40" i="9"/>
  <c r="A173" i="9"/>
  <c r="A166" i="9"/>
  <c r="A254" i="9"/>
  <c r="A78" i="9"/>
  <c r="A73" i="9"/>
  <c r="A67" i="9"/>
  <c r="A37" i="9"/>
  <c r="A179" i="9"/>
  <c r="A158" i="9"/>
  <c r="A119" i="9"/>
  <c r="A215" i="9"/>
  <c r="A101" i="9"/>
  <c r="A46" i="9"/>
  <c r="A23" i="9"/>
  <c r="A19" i="9"/>
  <c r="A10" i="9"/>
  <c r="A245" i="9"/>
  <c r="A237" i="9"/>
  <c r="A184" i="9"/>
  <c r="A130" i="9"/>
  <c r="A95" i="9"/>
  <c r="A61" i="9"/>
  <c r="A36" i="9"/>
  <c r="A14" i="9"/>
  <c r="A88" i="9"/>
  <c r="A77" i="9"/>
  <c r="A55" i="9"/>
  <c r="A256" i="9"/>
  <c r="A241" i="9"/>
  <c r="A167" i="9"/>
  <c r="A133" i="9"/>
  <c r="A121" i="9"/>
  <c r="A86" i="9"/>
  <c r="A74" i="9"/>
  <c r="A58" i="9"/>
  <c r="A155" i="9"/>
  <c r="A132" i="9"/>
  <c r="A90" i="9"/>
  <c r="A188" i="9"/>
  <c r="A233" i="9"/>
  <c r="A99" i="9"/>
  <c r="A50" i="9"/>
  <c r="A128" i="9"/>
  <c r="A150" i="9"/>
  <c r="A106" i="9"/>
  <c r="A117" i="9"/>
  <c r="A199" i="9"/>
  <c r="A148" i="9"/>
  <c r="A69" i="9"/>
  <c r="A228" i="9"/>
  <c r="A39" i="9"/>
  <c r="A217" i="9"/>
  <c r="A190" i="9"/>
  <c r="A152" i="9"/>
  <c r="A25" i="9"/>
  <c r="A53" i="9"/>
  <c r="A182" i="9"/>
  <c r="A147" i="9"/>
  <c r="A93" i="9"/>
  <c r="A21" i="9"/>
  <c r="A126" i="9"/>
  <c r="A122" i="9"/>
  <c r="A54" i="9"/>
  <c r="A35" i="9"/>
  <c r="A198" i="9"/>
  <c r="A135" i="9"/>
  <c r="A111" i="9"/>
  <c r="A44" i="9"/>
  <c r="A12" i="9"/>
  <c r="A82" i="9"/>
  <c r="A104" i="9"/>
  <c r="A211" i="9"/>
  <c r="F73" i="1"/>
  <c r="G73" i="1"/>
  <c r="H44" i="9" l="1"/>
  <c r="E44" i="9"/>
  <c r="C44" i="9"/>
  <c r="B44" i="9"/>
  <c r="D44" i="9"/>
  <c r="I44" i="9"/>
  <c r="G44" i="9"/>
  <c r="F44" i="9"/>
  <c r="F78" i="9"/>
  <c r="C78" i="9"/>
  <c r="G78" i="9"/>
  <c r="I78" i="9"/>
  <c r="D78" i="9"/>
  <c r="H78" i="9"/>
  <c r="E78" i="9"/>
  <c r="B78" i="9"/>
  <c r="H65" i="9"/>
  <c r="I65" i="9"/>
  <c r="C65" i="9"/>
  <c r="D65" i="9"/>
  <c r="B65" i="9"/>
  <c r="G65" i="9"/>
  <c r="F65" i="9"/>
  <c r="E65" i="9"/>
  <c r="D48" i="9"/>
  <c r="E48" i="9"/>
  <c r="C48" i="9"/>
  <c r="B48" i="9"/>
  <c r="I48" i="9"/>
  <c r="H48" i="9"/>
  <c r="F48" i="9"/>
  <c r="G48" i="9"/>
  <c r="B111" i="9"/>
  <c r="E111" i="9"/>
  <c r="D111" i="9"/>
  <c r="G111" i="9"/>
  <c r="F111" i="9"/>
  <c r="C111" i="9"/>
  <c r="I111" i="9"/>
  <c r="H111" i="9"/>
  <c r="H227" i="9"/>
  <c r="G227" i="9"/>
  <c r="D227" i="9"/>
  <c r="C227" i="9"/>
  <c r="F227" i="9"/>
  <c r="I227" i="9"/>
  <c r="E227" i="9"/>
  <c r="B227" i="9"/>
  <c r="E222" i="9"/>
  <c r="G222" i="9"/>
  <c r="D222" i="9"/>
  <c r="C222" i="9"/>
  <c r="B222" i="9"/>
  <c r="I222" i="9"/>
  <c r="F222" i="9"/>
  <c r="H222" i="9"/>
  <c r="B166" i="9"/>
  <c r="G166" i="9"/>
  <c r="F166" i="9"/>
  <c r="C166" i="9"/>
  <c r="I166" i="9"/>
  <c r="H166" i="9"/>
  <c r="E166" i="9"/>
  <c r="D166" i="9"/>
  <c r="D80" i="9"/>
  <c r="G80" i="9"/>
  <c r="F80" i="9"/>
  <c r="C80" i="9"/>
  <c r="I80" i="9"/>
  <c r="H80" i="9"/>
  <c r="E80" i="9"/>
  <c r="B80" i="9"/>
  <c r="F245" i="9"/>
  <c r="H245" i="9"/>
  <c r="G245" i="9"/>
  <c r="E245" i="9"/>
  <c r="I245" i="9"/>
  <c r="C245" i="9"/>
  <c r="D245" i="9"/>
  <c r="B245" i="9"/>
  <c r="G63" i="9"/>
  <c r="F63" i="9"/>
  <c r="I63" i="9"/>
  <c r="H63" i="9"/>
  <c r="B63" i="9"/>
  <c r="D63" i="9"/>
  <c r="C63" i="9"/>
  <c r="E63" i="9"/>
  <c r="E251" i="9"/>
  <c r="D251" i="9"/>
  <c r="I251" i="9"/>
  <c r="F251" i="9"/>
  <c r="G251" i="9"/>
  <c r="C251" i="9"/>
  <c r="B251" i="9"/>
  <c r="H251" i="9"/>
  <c r="G10" i="9"/>
  <c r="D10" i="9"/>
  <c r="C10" i="9"/>
  <c r="E10" i="9"/>
  <c r="B10" i="9"/>
  <c r="H10" i="9"/>
  <c r="I10" i="9"/>
  <c r="F10" i="9"/>
  <c r="D112" i="9"/>
  <c r="E112" i="9"/>
  <c r="C112" i="9"/>
  <c r="H112" i="9"/>
  <c r="I112" i="9"/>
  <c r="F112" i="9"/>
  <c r="G112" i="9"/>
  <c r="B112" i="9"/>
  <c r="H129" i="9"/>
  <c r="C129" i="9"/>
  <c r="B129" i="9"/>
  <c r="I129" i="9"/>
  <c r="G129" i="9"/>
  <c r="D129" i="9"/>
  <c r="E129" i="9"/>
  <c r="F129" i="9"/>
  <c r="I93" i="9"/>
  <c r="F93" i="9"/>
  <c r="G93" i="9"/>
  <c r="H93" i="9"/>
  <c r="E93" i="9"/>
  <c r="D93" i="9"/>
  <c r="C93" i="9"/>
  <c r="B93" i="9"/>
  <c r="I128" i="9"/>
  <c r="G128" i="9"/>
  <c r="D128" i="9"/>
  <c r="F128" i="9"/>
  <c r="H128" i="9"/>
  <c r="E128" i="9"/>
  <c r="C128" i="9"/>
  <c r="B128" i="9"/>
  <c r="E55" i="9"/>
  <c r="B55" i="9"/>
  <c r="I55" i="9"/>
  <c r="F55" i="9"/>
  <c r="C55" i="9"/>
  <c r="H55" i="9"/>
  <c r="D55" i="9"/>
  <c r="G55" i="9"/>
  <c r="D215" i="9"/>
  <c r="E215" i="9"/>
  <c r="G215" i="9"/>
  <c r="C215" i="9"/>
  <c r="B215" i="9"/>
  <c r="H215" i="9"/>
  <c r="I215" i="9"/>
  <c r="F215" i="9"/>
  <c r="I56" i="9"/>
  <c r="E56" i="9"/>
  <c r="D56" i="9"/>
  <c r="H56" i="9"/>
  <c r="G56" i="9"/>
  <c r="F56" i="9"/>
  <c r="C56" i="9"/>
  <c r="B56" i="9"/>
  <c r="G236" i="9"/>
  <c r="C236" i="9"/>
  <c r="I236" i="9"/>
  <c r="B236" i="9"/>
  <c r="H236" i="9"/>
  <c r="D236" i="9"/>
  <c r="E236" i="9"/>
  <c r="F236" i="9"/>
  <c r="C208" i="9"/>
  <c r="F208" i="9"/>
  <c r="G208" i="9"/>
  <c r="I208" i="9"/>
  <c r="B208" i="9"/>
  <c r="E208" i="9"/>
  <c r="H208" i="9"/>
  <c r="D208" i="9"/>
  <c r="I205" i="9"/>
  <c r="H205" i="9"/>
  <c r="B205" i="9"/>
  <c r="C205" i="9"/>
  <c r="D205" i="9"/>
  <c r="E205" i="9"/>
  <c r="G205" i="9"/>
  <c r="F205" i="9"/>
  <c r="G84" i="9"/>
  <c r="I84" i="9"/>
  <c r="B84" i="9"/>
  <c r="D84" i="9"/>
  <c r="C84" i="9"/>
  <c r="H84" i="9"/>
  <c r="F84" i="9"/>
  <c r="E84" i="9"/>
  <c r="I131" i="9"/>
  <c r="E131" i="9"/>
  <c r="D131" i="9"/>
  <c r="G131" i="9"/>
  <c r="H131" i="9"/>
  <c r="C131" i="9"/>
  <c r="F131" i="9"/>
  <c r="B131" i="9"/>
  <c r="I24" i="9"/>
  <c r="D24" i="9"/>
  <c r="C24" i="9"/>
  <c r="H24" i="9"/>
  <c r="G24" i="9"/>
  <c r="F24" i="9"/>
  <c r="E24" i="9"/>
  <c r="B24" i="9"/>
  <c r="F213" i="9"/>
  <c r="E213" i="9"/>
  <c r="I213" i="9"/>
  <c r="D213" i="9"/>
  <c r="C213" i="9"/>
  <c r="H213" i="9"/>
  <c r="G213" i="9"/>
  <c r="B213" i="9"/>
  <c r="C176" i="9"/>
  <c r="E176" i="9"/>
  <c r="G176" i="9"/>
  <c r="F176" i="9"/>
  <c r="D176" i="9"/>
  <c r="I176" i="9"/>
  <c r="H176" i="9"/>
  <c r="B176" i="9"/>
  <c r="C219" i="9"/>
  <c r="I219" i="9"/>
  <c r="D219" i="9"/>
  <c r="F219" i="9"/>
  <c r="E219" i="9"/>
  <c r="B219" i="9"/>
  <c r="H219" i="9"/>
  <c r="G219" i="9"/>
  <c r="B185" i="9"/>
  <c r="G185" i="9"/>
  <c r="D185" i="9"/>
  <c r="C185" i="9"/>
  <c r="E185" i="9"/>
  <c r="I185" i="9"/>
  <c r="H185" i="9"/>
  <c r="F185" i="9"/>
  <c r="D69" i="5"/>
  <c r="C14" i="12" s="1"/>
  <c r="H81" i="9"/>
  <c r="B81" i="9"/>
  <c r="E81" i="9"/>
  <c r="D81" i="9"/>
  <c r="C81" i="9"/>
  <c r="I81" i="9"/>
  <c r="G81" i="9"/>
  <c r="F81" i="9"/>
  <c r="I184" i="9"/>
  <c r="F184" i="9"/>
  <c r="G184" i="9"/>
  <c r="D184" i="9"/>
  <c r="E184" i="9"/>
  <c r="C184" i="9"/>
  <c r="B184" i="9"/>
  <c r="H184" i="9"/>
  <c r="D64" i="9"/>
  <c r="G64" i="9"/>
  <c r="F64" i="9"/>
  <c r="B64" i="9"/>
  <c r="C64" i="9"/>
  <c r="I64" i="9"/>
  <c r="H64" i="9"/>
  <c r="E64" i="9"/>
  <c r="I100" i="9"/>
  <c r="F100" i="9"/>
  <c r="E100" i="9"/>
  <c r="B100" i="9"/>
  <c r="H100" i="9"/>
  <c r="G100" i="9"/>
  <c r="D100" i="9"/>
  <c r="C100" i="9"/>
  <c r="D198" i="9"/>
  <c r="E198" i="9"/>
  <c r="B198" i="9"/>
  <c r="G198" i="9"/>
  <c r="F198" i="9"/>
  <c r="C198" i="9"/>
  <c r="I198" i="9"/>
  <c r="H198" i="9"/>
  <c r="C164" i="9"/>
  <c r="I164" i="9"/>
  <c r="B164" i="9"/>
  <c r="H164" i="9"/>
  <c r="G164" i="9"/>
  <c r="F164" i="9"/>
  <c r="E164" i="9"/>
  <c r="D164" i="9"/>
  <c r="I35" i="9"/>
  <c r="F35" i="9"/>
  <c r="H35" i="9"/>
  <c r="G35" i="9"/>
  <c r="E35" i="9"/>
  <c r="D35" i="9"/>
  <c r="C35" i="9"/>
  <c r="B35" i="9"/>
  <c r="G193" i="9"/>
  <c r="F193" i="9"/>
  <c r="C193" i="9"/>
  <c r="B193" i="9"/>
  <c r="H193" i="9"/>
  <c r="I193" i="9"/>
  <c r="D193" i="9"/>
  <c r="E193" i="9"/>
  <c r="D199" i="9"/>
  <c r="H199" i="9"/>
  <c r="G199" i="9"/>
  <c r="E199" i="9"/>
  <c r="C199" i="9"/>
  <c r="B199" i="9"/>
  <c r="F199" i="9"/>
  <c r="I199" i="9"/>
  <c r="C235" i="9"/>
  <c r="D235" i="9"/>
  <c r="B235" i="9"/>
  <c r="F235" i="9"/>
  <c r="E235" i="9"/>
  <c r="I235" i="9"/>
  <c r="G235" i="9"/>
  <c r="H235" i="9"/>
  <c r="E177" i="9"/>
  <c r="F177" i="9"/>
  <c r="C177" i="9"/>
  <c r="B177" i="9"/>
  <c r="H177" i="9"/>
  <c r="G177" i="9"/>
  <c r="I177" i="9"/>
  <c r="D177" i="9"/>
  <c r="C255" i="9"/>
  <c r="I255" i="9"/>
  <c r="F255" i="9"/>
  <c r="D255" i="9"/>
  <c r="B255" i="9"/>
  <c r="E255" i="9"/>
  <c r="H255" i="9"/>
  <c r="G255" i="9"/>
  <c r="G122" i="9"/>
  <c r="C122" i="9"/>
  <c r="B122" i="9"/>
  <c r="D122" i="9"/>
  <c r="H122" i="9"/>
  <c r="I122" i="9"/>
  <c r="F122" i="9"/>
  <c r="E122" i="9"/>
  <c r="E23" i="9"/>
  <c r="B23" i="9"/>
  <c r="I23" i="9"/>
  <c r="F23" i="9"/>
  <c r="D23" i="9"/>
  <c r="G23" i="9"/>
  <c r="H23" i="9"/>
  <c r="C23" i="9"/>
  <c r="D159" i="9"/>
  <c r="B159" i="9"/>
  <c r="E159" i="9"/>
  <c r="C159" i="9"/>
  <c r="F159" i="9"/>
  <c r="I159" i="9"/>
  <c r="H159" i="9"/>
  <c r="G159" i="9"/>
  <c r="G239" i="9"/>
  <c r="D239" i="9"/>
  <c r="E239" i="9"/>
  <c r="H239" i="9"/>
  <c r="C239" i="9"/>
  <c r="B239" i="9"/>
  <c r="F239" i="9"/>
  <c r="I239" i="9"/>
  <c r="C38" i="9"/>
  <c r="B38" i="9"/>
  <c r="D38" i="9"/>
  <c r="F38" i="9"/>
  <c r="G38" i="9"/>
  <c r="H38" i="9"/>
  <c r="E38" i="9"/>
  <c r="I38" i="9"/>
  <c r="E232" i="9"/>
  <c r="H232" i="9"/>
  <c r="B232" i="9"/>
  <c r="I232" i="9"/>
  <c r="D232" i="9"/>
  <c r="C232" i="9"/>
  <c r="F232" i="9"/>
  <c r="G232" i="9"/>
  <c r="E138" i="9"/>
  <c r="D138" i="9"/>
  <c r="H138" i="9"/>
  <c r="G138" i="9"/>
  <c r="F138" i="9"/>
  <c r="I138" i="9"/>
  <c r="C138" i="9"/>
  <c r="B138" i="9"/>
  <c r="G106" i="9"/>
  <c r="I106" i="9"/>
  <c r="E106" i="9"/>
  <c r="H106" i="9"/>
  <c r="F106" i="9"/>
  <c r="D106" i="9"/>
  <c r="C106" i="9"/>
  <c r="B106" i="9"/>
  <c r="F175" i="9"/>
  <c r="E175" i="9"/>
  <c r="D175" i="9"/>
  <c r="B175" i="9"/>
  <c r="C175" i="9"/>
  <c r="H175" i="9"/>
  <c r="G175" i="9"/>
  <c r="I175" i="9"/>
  <c r="E52" i="9"/>
  <c r="D52" i="9"/>
  <c r="B52" i="9"/>
  <c r="H52" i="9"/>
  <c r="I52" i="9"/>
  <c r="G52" i="9"/>
  <c r="F52" i="9"/>
  <c r="C52" i="9"/>
  <c r="C140" i="9"/>
  <c r="E140" i="9"/>
  <c r="I140" i="9"/>
  <c r="F140" i="9"/>
  <c r="D140" i="9"/>
  <c r="H140" i="9"/>
  <c r="G140" i="9"/>
  <c r="B140" i="9"/>
  <c r="H163" i="9"/>
  <c r="D163" i="9"/>
  <c r="E163" i="9"/>
  <c r="F163" i="9"/>
  <c r="G163" i="9"/>
  <c r="C163" i="9"/>
  <c r="I163" i="9"/>
  <c r="B163" i="9"/>
  <c r="E119" i="9"/>
  <c r="B119" i="9"/>
  <c r="C119" i="9"/>
  <c r="G119" i="9"/>
  <c r="I119" i="9"/>
  <c r="H119" i="9"/>
  <c r="F119" i="9"/>
  <c r="D119" i="9"/>
  <c r="D231" i="9"/>
  <c r="F231" i="9"/>
  <c r="G231" i="9"/>
  <c r="B231" i="9"/>
  <c r="C231" i="9"/>
  <c r="H231" i="9"/>
  <c r="I231" i="9"/>
  <c r="E231" i="9"/>
  <c r="B153" i="9"/>
  <c r="D153" i="9"/>
  <c r="G153" i="9"/>
  <c r="F153" i="9"/>
  <c r="I153" i="9"/>
  <c r="H153" i="9"/>
  <c r="C153" i="9"/>
  <c r="E153" i="9"/>
  <c r="G26" i="9"/>
  <c r="F26" i="9"/>
  <c r="E26" i="9"/>
  <c r="C26" i="9"/>
  <c r="B26" i="9"/>
  <c r="I26" i="9"/>
  <c r="H26" i="9"/>
  <c r="D26" i="9"/>
  <c r="B221" i="9"/>
  <c r="D221" i="9"/>
  <c r="C221" i="9"/>
  <c r="I221" i="9"/>
  <c r="G221" i="9"/>
  <c r="F221" i="9"/>
  <c r="E221" i="9"/>
  <c r="H221" i="9"/>
  <c r="G189" i="9"/>
  <c r="D189" i="9"/>
  <c r="H189" i="9"/>
  <c r="I189" i="9"/>
  <c r="E189" i="9"/>
  <c r="C189" i="9"/>
  <c r="F189" i="9"/>
  <c r="B189" i="9"/>
  <c r="B249" i="9"/>
  <c r="F249" i="9"/>
  <c r="D249" i="9"/>
  <c r="C249" i="9"/>
  <c r="E249" i="9"/>
  <c r="H249" i="9"/>
  <c r="G249" i="9"/>
  <c r="I249" i="9"/>
  <c r="G187" i="9"/>
  <c r="C187" i="9"/>
  <c r="D187" i="9"/>
  <c r="I187" i="9"/>
  <c r="H187" i="9"/>
  <c r="B187" i="9"/>
  <c r="E187" i="9"/>
  <c r="F187" i="9"/>
  <c r="D155" i="9"/>
  <c r="C155" i="9"/>
  <c r="G155" i="9"/>
  <c r="I155" i="9"/>
  <c r="B155" i="9"/>
  <c r="H155" i="9"/>
  <c r="F155" i="9"/>
  <c r="E155" i="9"/>
  <c r="E146" i="9"/>
  <c r="B146" i="9"/>
  <c r="G146" i="9"/>
  <c r="I146" i="9"/>
  <c r="D146" i="9"/>
  <c r="F146" i="9"/>
  <c r="C146" i="9"/>
  <c r="H146" i="9"/>
  <c r="E254" i="9"/>
  <c r="D254" i="9"/>
  <c r="H254" i="9"/>
  <c r="G254" i="9"/>
  <c r="B254" i="9"/>
  <c r="I254" i="9"/>
  <c r="F254" i="9"/>
  <c r="C254" i="9"/>
  <c r="I120" i="9"/>
  <c r="B120" i="9"/>
  <c r="E120" i="9"/>
  <c r="D120" i="9"/>
  <c r="C120" i="9"/>
  <c r="F120" i="9"/>
  <c r="H120" i="9"/>
  <c r="G120" i="9"/>
  <c r="I135" i="9"/>
  <c r="H135" i="9"/>
  <c r="E135" i="9"/>
  <c r="D135" i="9"/>
  <c r="C135" i="9"/>
  <c r="G135" i="9"/>
  <c r="F135" i="9"/>
  <c r="B135" i="9"/>
  <c r="I31" i="9"/>
  <c r="C31" i="9"/>
  <c r="B31" i="9"/>
  <c r="F31" i="9"/>
  <c r="E31" i="9"/>
  <c r="D31" i="9"/>
  <c r="H31" i="9"/>
  <c r="G31" i="9"/>
  <c r="G156" i="9"/>
  <c r="F156" i="9"/>
  <c r="E156" i="9"/>
  <c r="B156" i="9"/>
  <c r="I156" i="9"/>
  <c r="H156" i="9"/>
  <c r="D156" i="9"/>
  <c r="C156" i="9"/>
  <c r="G180" i="9"/>
  <c r="D180" i="9"/>
  <c r="B180" i="9"/>
  <c r="I180" i="9"/>
  <c r="H180" i="9"/>
  <c r="F180" i="9"/>
  <c r="E180" i="9"/>
  <c r="C180" i="9"/>
  <c r="C89" i="9"/>
  <c r="H89" i="9"/>
  <c r="G89" i="9"/>
  <c r="D89" i="9"/>
  <c r="E89" i="9"/>
  <c r="B89" i="9"/>
  <c r="F89" i="9"/>
  <c r="I89" i="9"/>
  <c r="I91" i="9"/>
  <c r="H91" i="9"/>
  <c r="E91" i="9"/>
  <c r="B91" i="9"/>
  <c r="F91" i="9"/>
  <c r="G91" i="9"/>
  <c r="D91" i="9"/>
  <c r="C91" i="9"/>
  <c r="I19" i="9"/>
  <c r="F19" i="9"/>
  <c r="H19" i="9"/>
  <c r="E19" i="9"/>
  <c r="D19" i="9"/>
  <c r="C19" i="9"/>
  <c r="G19" i="9"/>
  <c r="B19" i="9"/>
  <c r="D247" i="9"/>
  <c r="G247" i="9"/>
  <c r="E247" i="9"/>
  <c r="I247" i="9"/>
  <c r="H247" i="9"/>
  <c r="F247" i="9"/>
  <c r="C247" i="9"/>
  <c r="B247" i="9"/>
  <c r="E258" i="9"/>
  <c r="C258" i="9"/>
  <c r="G258" i="9"/>
  <c r="F258" i="9"/>
  <c r="I258" i="9"/>
  <c r="H258" i="9"/>
  <c r="D258" i="9"/>
  <c r="B258" i="9"/>
  <c r="D167" i="9"/>
  <c r="E167" i="9"/>
  <c r="H167" i="9"/>
  <c r="C167" i="9"/>
  <c r="F167" i="9"/>
  <c r="B167" i="9"/>
  <c r="I167" i="9"/>
  <c r="G167" i="9"/>
  <c r="E206" i="9"/>
  <c r="F206" i="9"/>
  <c r="I206" i="9"/>
  <c r="H206" i="9"/>
  <c r="C206" i="9"/>
  <c r="D206" i="9"/>
  <c r="B206" i="9"/>
  <c r="G206" i="9"/>
  <c r="B109" i="9"/>
  <c r="D109" i="9"/>
  <c r="C109" i="9"/>
  <c r="H109" i="9"/>
  <c r="G109" i="9"/>
  <c r="I109" i="9"/>
  <c r="F109" i="9"/>
  <c r="E109" i="9"/>
  <c r="E87" i="9"/>
  <c r="B87" i="9"/>
  <c r="G87" i="9"/>
  <c r="F87" i="9"/>
  <c r="H87" i="9"/>
  <c r="D87" i="9"/>
  <c r="C87" i="9"/>
  <c r="I87" i="9"/>
  <c r="C105" i="9"/>
  <c r="F105" i="9"/>
  <c r="E105" i="9"/>
  <c r="I105" i="9"/>
  <c r="G105" i="9"/>
  <c r="H105" i="9"/>
  <c r="D105" i="9"/>
  <c r="B105" i="9"/>
  <c r="F123" i="9"/>
  <c r="D123" i="9"/>
  <c r="I123" i="9"/>
  <c r="B123" i="9"/>
  <c r="G123" i="9"/>
  <c r="E123" i="9"/>
  <c r="C123" i="9"/>
  <c r="H123" i="9"/>
  <c r="F46" i="9"/>
  <c r="C46" i="9"/>
  <c r="D46" i="9"/>
  <c r="B46" i="9"/>
  <c r="H46" i="9"/>
  <c r="G46" i="9"/>
  <c r="I46" i="9"/>
  <c r="E46" i="9"/>
  <c r="H13" i="9"/>
  <c r="G13" i="9"/>
  <c r="B13" i="9"/>
  <c r="I13" i="9"/>
  <c r="F13" i="9"/>
  <c r="D13" i="9"/>
  <c r="E13" i="9"/>
  <c r="C13" i="9"/>
  <c r="D157" i="9"/>
  <c r="G157" i="9"/>
  <c r="C157" i="9"/>
  <c r="B157" i="9"/>
  <c r="H157" i="9"/>
  <c r="I157" i="9"/>
  <c r="E157" i="9"/>
  <c r="F157" i="9"/>
  <c r="C160" i="9"/>
  <c r="E160" i="9"/>
  <c r="I160" i="9"/>
  <c r="H160" i="9"/>
  <c r="D160" i="9"/>
  <c r="B160" i="9"/>
  <c r="G160" i="9"/>
  <c r="F160" i="9"/>
  <c r="E158" i="9"/>
  <c r="F158" i="9"/>
  <c r="H158" i="9"/>
  <c r="I158" i="9"/>
  <c r="G158" i="9"/>
  <c r="B158" i="9"/>
  <c r="D158" i="9"/>
  <c r="C158" i="9"/>
  <c r="I72" i="9"/>
  <c r="G72" i="9"/>
  <c r="F72" i="9"/>
  <c r="C72" i="9"/>
  <c r="H72" i="9"/>
  <c r="D72" i="9"/>
  <c r="B72" i="9"/>
  <c r="E72" i="9"/>
  <c r="C116" i="9"/>
  <c r="B116" i="9"/>
  <c r="I116" i="9"/>
  <c r="H116" i="9"/>
  <c r="G116" i="9"/>
  <c r="F116" i="9"/>
  <c r="D116" i="9"/>
  <c r="E116" i="9"/>
  <c r="E238" i="9"/>
  <c r="B238" i="9"/>
  <c r="I238" i="9"/>
  <c r="C238" i="9"/>
  <c r="G238" i="9"/>
  <c r="H238" i="9"/>
  <c r="D238" i="9"/>
  <c r="F238" i="9"/>
  <c r="I51" i="9"/>
  <c r="F51" i="9"/>
  <c r="C51" i="9"/>
  <c r="E51" i="9"/>
  <c r="G51" i="9"/>
  <c r="H51" i="9"/>
  <c r="B51" i="9"/>
  <c r="D51" i="9"/>
  <c r="B127" i="9"/>
  <c r="G127" i="9"/>
  <c r="C127" i="9"/>
  <c r="E127" i="9"/>
  <c r="D127" i="9"/>
  <c r="I127" i="9"/>
  <c r="F127" i="9"/>
  <c r="H127" i="9"/>
  <c r="E174" i="9"/>
  <c r="C174" i="9"/>
  <c r="I174" i="9"/>
  <c r="G174" i="9"/>
  <c r="F174" i="9"/>
  <c r="H174" i="9"/>
  <c r="B174" i="9"/>
  <c r="D174" i="9"/>
  <c r="H28" i="9"/>
  <c r="E28" i="9"/>
  <c r="I28" i="9"/>
  <c r="G28" i="9"/>
  <c r="B28" i="9"/>
  <c r="D28" i="9"/>
  <c r="F28" i="9"/>
  <c r="C28" i="9"/>
  <c r="F229" i="9"/>
  <c r="E229" i="9"/>
  <c r="D229" i="9"/>
  <c r="G229" i="9"/>
  <c r="B229" i="9"/>
  <c r="I229" i="9"/>
  <c r="H229" i="9"/>
  <c r="C229" i="9"/>
  <c r="C200" i="9"/>
  <c r="E200" i="9"/>
  <c r="F200" i="9"/>
  <c r="H200" i="9"/>
  <c r="I200" i="9"/>
  <c r="G200" i="9"/>
  <c r="B200" i="9"/>
  <c r="D200" i="9"/>
  <c r="G136" i="9"/>
  <c r="D136" i="9"/>
  <c r="E136" i="9"/>
  <c r="B136" i="9"/>
  <c r="F136" i="9"/>
  <c r="H136" i="9"/>
  <c r="I136" i="9"/>
  <c r="C136" i="9"/>
  <c r="G204" i="9"/>
  <c r="E204" i="9"/>
  <c r="H204" i="9"/>
  <c r="B204" i="9"/>
  <c r="I204" i="9"/>
  <c r="F204" i="9"/>
  <c r="D204" i="9"/>
  <c r="C204" i="9"/>
  <c r="E69" i="5"/>
  <c r="B217" i="9"/>
  <c r="D217" i="9"/>
  <c r="I217" i="9"/>
  <c r="F217" i="9"/>
  <c r="H217" i="9"/>
  <c r="G217" i="9"/>
  <c r="C217" i="9"/>
  <c r="E217" i="9"/>
  <c r="I186" i="9"/>
  <c r="G186" i="9"/>
  <c r="C186" i="9"/>
  <c r="B186" i="9"/>
  <c r="H186" i="9"/>
  <c r="E186" i="9"/>
  <c r="F186" i="9"/>
  <c r="D186" i="9"/>
  <c r="B201" i="9"/>
  <c r="H201" i="9"/>
  <c r="D201" i="9"/>
  <c r="C201" i="9"/>
  <c r="G201" i="9"/>
  <c r="I201" i="9"/>
  <c r="F201" i="9"/>
  <c r="E201" i="9"/>
  <c r="G220" i="9"/>
  <c r="F220" i="9"/>
  <c r="I220" i="9"/>
  <c r="H220" i="9"/>
  <c r="C220" i="9"/>
  <c r="B220" i="9"/>
  <c r="E220" i="9"/>
  <c r="D220" i="9"/>
  <c r="G58" i="9"/>
  <c r="E58" i="9"/>
  <c r="D58" i="9"/>
  <c r="B58" i="9"/>
  <c r="C58" i="9"/>
  <c r="I58" i="9"/>
  <c r="H58" i="9"/>
  <c r="F58" i="9"/>
  <c r="F197" i="9"/>
  <c r="H197" i="9"/>
  <c r="G197" i="9"/>
  <c r="B197" i="9"/>
  <c r="I197" i="9"/>
  <c r="E197" i="9"/>
  <c r="D197" i="9"/>
  <c r="C197" i="9"/>
  <c r="D151" i="9"/>
  <c r="C151" i="9"/>
  <c r="F151" i="9"/>
  <c r="I151" i="9"/>
  <c r="G151" i="9"/>
  <c r="B151" i="9"/>
  <c r="E151" i="9"/>
  <c r="H151" i="9"/>
  <c r="G228" i="9"/>
  <c r="H228" i="9"/>
  <c r="B228" i="9"/>
  <c r="C228" i="9"/>
  <c r="I228" i="9"/>
  <c r="E228" i="9"/>
  <c r="F228" i="9"/>
  <c r="D228" i="9"/>
  <c r="F210" i="9"/>
  <c r="E210" i="9"/>
  <c r="C210" i="9"/>
  <c r="B210" i="9"/>
  <c r="D210" i="9"/>
  <c r="I210" i="9"/>
  <c r="H210" i="9"/>
  <c r="G210" i="9"/>
  <c r="H126" i="9"/>
  <c r="E126" i="9"/>
  <c r="I126" i="9"/>
  <c r="G126" i="9"/>
  <c r="C126" i="9"/>
  <c r="F126" i="9"/>
  <c r="D126" i="9"/>
  <c r="B126" i="9"/>
  <c r="I241" i="9"/>
  <c r="F241" i="9"/>
  <c r="C241" i="9"/>
  <c r="B241" i="9"/>
  <c r="H241" i="9"/>
  <c r="G241" i="9"/>
  <c r="E241" i="9"/>
  <c r="D241" i="9"/>
  <c r="B18" i="9"/>
  <c r="E18" i="9"/>
  <c r="D18" i="9"/>
  <c r="F18" i="9"/>
  <c r="C18" i="9"/>
  <c r="H18" i="9"/>
  <c r="G18" i="9"/>
  <c r="I18" i="9"/>
  <c r="H171" i="9"/>
  <c r="E171" i="9"/>
  <c r="G171" i="9"/>
  <c r="I171" i="9"/>
  <c r="C171" i="9"/>
  <c r="F171" i="9"/>
  <c r="B171" i="9"/>
  <c r="D171" i="9"/>
  <c r="H113" i="9"/>
  <c r="B113" i="9"/>
  <c r="F113" i="9"/>
  <c r="E113" i="9"/>
  <c r="D113" i="9"/>
  <c r="C113" i="9"/>
  <c r="I113" i="9"/>
  <c r="G113" i="9"/>
  <c r="I20" i="9"/>
  <c r="H20" i="9"/>
  <c r="B20" i="9"/>
  <c r="E20" i="9"/>
  <c r="C20" i="9"/>
  <c r="G20" i="9"/>
  <c r="D20" i="9"/>
  <c r="F20" i="9"/>
  <c r="G141" i="9"/>
  <c r="B141" i="9"/>
  <c r="F141" i="9"/>
  <c r="E141" i="9"/>
  <c r="H141" i="9"/>
  <c r="D141" i="9"/>
  <c r="C141" i="9"/>
  <c r="I141" i="9"/>
  <c r="E142" i="9"/>
  <c r="B142" i="9"/>
  <c r="I142" i="9"/>
  <c r="D142" i="9"/>
  <c r="H142" i="9"/>
  <c r="F142" i="9"/>
  <c r="C142" i="9"/>
  <c r="G142" i="9"/>
  <c r="G21" i="9"/>
  <c r="D21" i="9"/>
  <c r="I21" i="9"/>
  <c r="H21" i="9"/>
  <c r="E21" i="9"/>
  <c r="C21" i="9"/>
  <c r="B21" i="9"/>
  <c r="F21" i="9"/>
  <c r="C256" i="9"/>
  <c r="E256" i="9"/>
  <c r="I256" i="9"/>
  <c r="F256" i="9"/>
  <c r="D256" i="9"/>
  <c r="B256" i="9"/>
  <c r="G256" i="9"/>
  <c r="H256" i="9"/>
  <c r="C41" i="9"/>
  <c r="I41" i="9"/>
  <c r="D41" i="9"/>
  <c r="E41" i="9"/>
  <c r="B41" i="9"/>
  <c r="G41" i="9"/>
  <c r="H41" i="9"/>
  <c r="F41" i="9"/>
  <c r="G191" i="9"/>
  <c r="E191" i="9"/>
  <c r="B191" i="9"/>
  <c r="F191" i="9"/>
  <c r="C191" i="9"/>
  <c r="H191" i="9"/>
  <c r="D191" i="9"/>
  <c r="I191" i="9"/>
  <c r="E71" i="9"/>
  <c r="B71" i="9"/>
  <c r="C71" i="9"/>
  <c r="G71" i="9"/>
  <c r="F71" i="9"/>
  <c r="D71" i="9"/>
  <c r="I71" i="9"/>
  <c r="H71" i="9"/>
  <c r="B22" i="9"/>
  <c r="F22" i="9"/>
  <c r="H22" i="9"/>
  <c r="G22" i="9"/>
  <c r="I22" i="9"/>
  <c r="E22" i="9"/>
  <c r="D22" i="9"/>
  <c r="C22" i="9"/>
  <c r="I170" i="9"/>
  <c r="B170" i="9"/>
  <c r="D170" i="9"/>
  <c r="C170" i="9"/>
  <c r="E170" i="9"/>
  <c r="G170" i="9"/>
  <c r="F170" i="9"/>
  <c r="H170" i="9"/>
  <c r="G77" i="9"/>
  <c r="F77" i="9"/>
  <c r="E77" i="9"/>
  <c r="D77" i="9"/>
  <c r="H77" i="9"/>
  <c r="B77" i="9"/>
  <c r="I77" i="9"/>
  <c r="C77" i="9"/>
  <c r="E103" i="9"/>
  <c r="B103" i="9"/>
  <c r="I103" i="9"/>
  <c r="H103" i="9"/>
  <c r="G103" i="9"/>
  <c r="F103" i="9"/>
  <c r="C103" i="9"/>
  <c r="D103" i="9"/>
  <c r="I88" i="9"/>
  <c r="G88" i="9"/>
  <c r="D88" i="9"/>
  <c r="H88" i="9"/>
  <c r="B88" i="9"/>
  <c r="F88" i="9"/>
  <c r="C88" i="9"/>
  <c r="E88" i="9"/>
  <c r="H211" i="9"/>
  <c r="F211" i="9"/>
  <c r="E211" i="9"/>
  <c r="I211" i="9"/>
  <c r="G211" i="9"/>
  <c r="C211" i="9"/>
  <c r="D211" i="9"/>
  <c r="B211" i="9"/>
  <c r="G53" i="9"/>
  <c r="D53" i="9"/>
  <c r="F53" i="9"/>
  <c r="I53" i="9"/>
  <c r="H53" i="9"/>
  <c r="E53" i="9"/>
  <c r="C53" i="9"/>
  <c r="B53" i="9"/>
  <c r="B233" i="9"/>
  <c r="I233" i="9"/>
  <c r="H233" i="9"/>
  <c r="C233" i="9"/>
  <c r="E233" i="9"/>
  <c r="D233" i="9"/>
  <c r="F233" i="9"/>
  <c r="G233" i="9"/>
  <c r="F14" i="9"/>
  <c r="C14" i="9"/>
  <c r="I14" i="9"/>
  <c r="E14" i="9"/>
  <c r="H14" i="9"/>
  <c r="G14" i="9"/>
  <c r="D14" i="9"/>
  <c r="B14" i="9"/>
  <c r="H179" i="9"/>
  <c r="D179" i="9"/>
  <c r="F179" i="9"/>
  <c r="I179" i="9"/>
  <c r="G179" i="9"/>
  <c r="B179" i="9"/>
  <c r="E179" i="9"/>
  <c r="C179" i="9"/>
  <c r="B98" i="9"/>
  <c r="I98" i="9"/>
  <c r="E98" i="9"/>
  <c r="D98" i="9"/>
  <c r="F98" i="9"/>
  <c r="C98" i="9"/>
  <c r="H98" i="9"/>
  <c r="G98" i="9"/>
  <c r="D125" i="9"/>
  <c r="F125" i="9"/>
  <c r="I125" i="9"/>
  <c r="G125" i="9"/>
  <c r="H125" i="9"/>
  <c r="C125" i="9"/>
  <c r="E125" i="9"/>
  <c r="B125" i="9"/>
  <c r="I246" i="9"/>
  <c r="D246" i="9"/>
  <c r="G246" i="9"/>
  <c r="C246" i="9"/>
  <c r="E246" i="9"/>
  <c r="B246" i="9"/>
  <c r="H246" i="9"/>
  <c r="F246" i="9"/>
  <c r="C57" i="9"/>
  <c r="B57" i="9"/>
  <c r="G57" i="9"/>
  <c r="E57" i="9"/>
  <c r="F57" i="9"/>
  <c r="D57" i="9"/>
  <c r="H57" i="9"/>
  <c r="I57" i="9"/>
  <c r="D183" i="9"/>
  <c r="B183" i="9"/>
  <c r="G183" i="9"/>
  <c r="C183" i="9"/>
  <c r="E183" i="9"/>
  <c r="I183" i="9"/>
  <c r="H183" i="9"/>
  <c r="F183" i="9"/>
  <c r="H195" i="9"/>
  <c r="G195" i="9"/>
  <c r="I195" i="9"/>
  <c r="D195" i="9"/>
  <c r="F195" i="9"/>
  <c r="E195" i="9"/>
  <c r="B195" i="9"/>
  <c r="C195" i="9"/>
  <c r="F30" i="9"/>
  <c r="C30" i="9"/>
  <c r="E30" i="9"/>
  <c r="I30" i="9"/>
  <c r="B30" i="9"/>
  <c r="H30" i="9"/>
  <c r="G30" i="9"/>
  <c r="D30" i="9"/>
  <c r="I234" i="9"/>
  <c r="D234" i="9"/>
  <c r="H234" i="9"/>
  <c r="B234" i="9"/>
  <c r="G234" i="9"/>
  <c r="E234" i="9"/>
  <c r="C234" i="9"/>
  <c r="F234" i="9"/>
  <c r="H207" i="9"/>
  <c r="I207" i="9"/>
  <c r="D207" i="9"/>
  <c r="G207" i="9"/>
  <c r="F207" i="9"/>
  <c r="E207" i="9"/>
  <c r="C207" i="9"/>
  <c r="B207" i="9"/>
  <c r="F212" i="9"/>
  <c r="B212" i="9"/>
  <c r="G212" i="9"/>
  <c r="E212" i="9"/>
  <c r="C212" i="9"/>
  <c r="I212" i="9"/>
  <c r="H212" i="9"/>
  <c r="D212" i="9"/>
  <c r="F223" i="9"/>
  <c r="C223" i="9"/>
  <c r="G223" i="9"/>
  <c r="I223" i="9"/>
  <c r="H223" i="9"/>
  <c r="B223" i="9"/>
  <c r="E223" i="9"/>
  <c r="D223" i="9"/>
  <c r="K69" i="5"/>
  <c r="G130" i="9"/>
  <c r="F130" i="9"/>
  <c r="C130" i="9"/>
  <c r="H130" i="9"/>
  <c r="E130" i="9"/>
  <c r="D130" i="9"/>
  <c r="I130" i="9"/>
  <c r="B130" i="9"/>
  <c r="B66" i="9"/>
  <c r="G66" i="9"/>
  <c r="F66" i="9"/>
  <c r="C66" i="9"/>
  <c r="I66" i="9"/>
  <c r="E66" i="9"/>
  <c r="D66" i="9"/>
  <c r="H66" i="9"/>
  <c r="I27" i="9"/>
  <c r="G27" i="9"/>
  <c r="H27" i="9"/>
  <c r="F27" i="9"/>
  <c r="B27" i="9"/>
  <c r="E27" i="9"/>
  <c r="C27" i="9"/>
  <c r="D27" i="9"/>
  <c r="E39" i="9"/>
  <c r="B39" i="9"/>
  <c r="G39" i="9"/>
  <c r="F39" i="9"/>
  <c r="D39" i="9"/>
  <c r="I39" i="9"/>
  <c r="H39" i="9"/>
  <c r="C39" i="9"/>
  <c r="E196" i="9"/>
  <c r="D196" i="9"/>
  <c r="C196" i="9"/>
  <c r="B196" i="9"/>
  <c r="I196" i="9"/>
  <c r="H196" i="9"/>
  <c r="G196" i="9"/>
  <c r="F196" i="9"/>
  <c r="H76" i="9"/>
  <c r="E76" i="9"/>
  <c r="I76" i="9"/>
  <c r="G76" i="9"/>
  <c r="C76" i="9"/>
  <c r="D76" i="9"/>
  <c r="F76" i="9"/>
  <c r="B76" i="9"/>
  <c r="I43" i="9"/>
  <c r="G43" i="9"/>
  <c r="D43" i="9"/>
  <c r="B43" i="9"/>
  <c r="F43" i="9"/>
  <c r="H43" i="9"/>
  <c r="E43" i="9"/>
  <c r="C43" i="9"/>
  <c r="E237" i="9"/>
  <c r="B237" i="9"/>
  <c r="I237" i="9"/>
  <c r="H237" i="9"/>
  <c r="D237" i="9"/>
  <c r="G237" i="9"/>
  <c r="F237" i="9"/>
  <c r="C237" i="9"/>
  <c r="C224" i="9"/>
  <c r="I224" i="9"/>
  <c r="G224" i="9"/>
  <c r="B224" i="9"/>
  <c r="H224" i="9"/>
  <c r="F224" i="9"/>
  <c r="E224" i="9"/>
  <c r="D224" i="9"/>
  <c r="G86" i="9"/>
  <c r="F86" i="9"/>
  <c r="E86" i="9"/>
  <c r="B86" i="9"/>
  <c r="C86" i="9"/>
  <c r="I86" i="9"/>
  <c r="D86" i="9"/>
  <c r="H86" i="9"/>
  <c r="F110" i="9"/>
  <c r="C110" i="9"/>
  <c r="I110" i="9"/>
  <c r="G110" i="9"/>
  <c r="E110" i="9"/>
  <c r="D110" i="9"/>
  <c r="B110" i="9"/>
  <c r="H110" i="9"/>
  <c r="I75" i="9"/>
  <c r="D75" i="9"/>
  <c r="H75" i="9"/>
  <c r="C75" i="9"/>
  <c r="F75" i="9"/>
  <c r="E75" i="9"/>
  <c r="B75" i="9"/>
  <c r="G75" i="9"/>
  <c r="C192" i="9"/>
  <c r="G192" i="9"/>
  <c r="B192" i="9"/>
  <c r="I192" i="9"/>
  <c r="E192" i="9"/>
  <c r="H192" i="9"/>
  <c r="F192" i="9"/>
  <c r="D192" i="9"/>
  <c r="I154" i="9"/>
  <c r="G154" i="9"/>
  <c r="H154" i="9"/>
  <c r="D154" i="9"/>
  <c r="C154" i="9"/>
  <c r="B154" i="9"/>
  <c r="F154" i="9"/>
  <c r="E154" i="9"/>
  <c r="D253" i="9"/>
  <c r="G253" i="9"/>
  <c r="C253" i="9"/>
  <c r="H253" i="9"/>
  <c r="F253" i="9"/>
  <c r="E253" i="9"/>
  <c r="B253" i="9"/>
  <c r="I253" i="9"/>
  <c r="I137" i="9"/>
  <c r="H137" i="9"/>
  <c r="D137" i="9"/>
  <c r="F137" i="9"/>
  <c r="E137" i="9"/>
  <c r="C137" i="9"/>
  <c r="B137" i="9"/>
  <c r="G137" i="9"/>
  <c r="B14" i="12"/>
  <c r="I69" i="5"/>
  <c r="F14" i="12" s="1"/>
  <c r="F69" i="5"/>
  <c r="G69" i="5"/>
  <c r="D14" i="12" s="1"/>
  <c r="B50" i="9"/>
  <c r="E50" i="9"/>
  <c r="D50" i="9"/>
  <c r="I50" i="9"/>
  <c r="H50" i="9"/>
  <c r="F50" i="9"/>
  <c r="C50" i="9"/>
  <c r="G50" i="9"/>
  <c r="H225" i="9"/>
  <c r="E225" i="9"/>
  <c r="I225" i="9"/>
  <c r="G225" i="9"/>
  <c r="B225" i="9"/>
  <c r="F225" i="9"/>
  <c r="D225" i="9"/>
  <c r="C225" i="9"/>
  <c r="I99" i="9"/>
  <c r="F99" i="9"/>
  <c r="H99" i="9"/>
  <c r="B99" i="9"/>
  <c r="C99" i="9"/>
  <c r="G99" i="9"/>
  <c r="E99" i="9"/>
  <c r="D99" i="9"/>
  <c r="I104" i="9"/>
  <c r="H104" i="9"/>
  <c r="G104" i="9"/>
  <c r="D104" i="9"/>
  <c r="C104" i="9"/>
  <c r="F104" i="9"/>
  <c r="B104" i="9"/>
  <c r="E104" i="9"/>
  <c r="C25" i="9"/>
  <c r="I25" i="9"/>
  <c r="B25" i="9"/>
  <c r="E25" i="9"/>
  <c r="H25" i="9"/>
  <c r="G25" i="9"/>
  <c r="F25" i="9"/>
  <c r="D25" i="9"/>
  <c r="G188" i="9"/>
  <c r="I188" i="9"/>
  <c r="D188" i="9"/>
  <c r="F188" i="9"/>
  <c r="E188" i="9"/>
  <c r="C188" i="9"/>
  <c r="B188" i="9"/>
  <c r="H188" i="9"/>
  <c r="C36" i="9"/>
  <c r="B36" i="9"/>
  <c r="I36" i="9"/>
  <c r="H36" i="9"/>
  <c r="G36" i="9"/>
  <c r="E36" i="9"/>
  <c r="F36" i="9"/>
  <c r="D36" i="9"/>
  <c r="G37" i="9"/>
  <c r="D37" i="9"/>
  <c r="H37" i="9"/>
  <c r="F37" i="9"/>
  <c r="E37" i="9"/>
  <c r="C37" i="9"/>
  <c r="B37" i="9"/>
  <c r="I37" i="9"/>
  <c r="I102" i="9"/>
  <c r="G102" i="9"/>
  <c r="F102" i="9"/>
  <c r="C102" i="9"/>
  <c r="H102" i="9"/>
  <c r="E102" i="9"/>
  <c r="D102" i="9"/>
  <c r="B102" i="9"/>
  <c r="E144" i="9"/>
  <c r="B144" i="9"/>
  <c r="G144" i="9"/>
  <c r="F144" i="9"/>
  <c r="I144" i="9"/>
  <c r="D144" i="9"/>
  <c r="H144" i="9"/>
  <c r="C144" i="9"/>
  <c r="G42" i="9"/>
  <c r="C42" i="9"/>
  <c r="B42" i="9"/>
  <c r="I42" i="9"/>
  <c r="H42" i="9"/>
  <c r="E42" i="9"/>
  <c r="D42" i="9"/>
  <c r="F42" i="9"/>
  <c r="B114" i="9"/>
  <c r="I114" i="9"/>
  <c r="E114" i="9"/>
  <c r="C114" i="9"/>
  <c r="G114" i="9"/>
  <c r="H114" i="9"/>
  <c r="F114" i="9"/>
  <c r="D114" i="9"/>
  <c r="H203" i="9"/>
  <c r="I203" i="9"/>
  <c r="E203" i="9"/>
  <c r="B203" i="9"/>
  <c r="F203" i="9"/>
  <c r="D203" i="9"/>
  <c r="C203" i="9"/>
  <c r="G203" i="9"/>
  <c r="G209" i="9"/>
  <c r="I209" i="9"/>
  <c r="F209" i="9"/>
  <c r="C209" i="9"/>
  <c r="H209" i="9"/>
  <c r="E209" i="9"/>
  <c r="D209" i="9"/>
  <c r="B209" i="9"/>
  <c r="F79" i="9"/>
  <c r="I79" i="9"/>
  <c r="D79" i="9"/>
  <c r="B79" i="9"/>
  <c r="G79" i="9"/>
  <c r="E79" i="9"/>
  <c r="C79" i="9"/>
  <c r="H79" i="9"/>
  <c r="I250" i="9"/>
  <c r="D250" i="9"/>
  <c r="H250" i="9"/>
  <c r="C250" i="9"/>
  <c r="E250" i="9"/>
  <c r="G250" i="9"/>
  <c r="B250" i="9"/>
  <c r="F250" i="9"/>
  <c r="F230" i="9"/>
  <c r="H230" i="9"/>
  <c r="B230" i="9"/>
  <c r="E230" i="9"/>
  <c r="I230" i="9"/>
  <c r="G230" i="9"/>
  <c r="D230" i="9"/>
  <c r="C230" i="9"/>
  <c r="F214" i="9"/>
  <c r="D214" i="9"/>
  <c r="H214" i="9"/>
  <c r="B214" i="9"/>
  <c r="C214" i="9"/>
  <c r="G214" i="9"/>
  <c r="E214" i="9"/>
  <c r="I214" i="9"/>
  <c r="C240" i="9"/>
  <c r="I240" i="9"/>
  <c r="D240" i="9"/>
  <c r="H240" i="9"/>
  <c r="G240" i="9"/>
  <c r="B240" i="9"/>
  <c r="E240" i="9"/>
  <c r="F240" i="9"/>
  <c r="F74" i="1"/>
  <c r="G74" i="1"/>
  <c r="H143" i="9"/>
  <c r="F143" i="9"/>
  <c r="C143" i="9"/>
  <c r="E143" i="9"/>
  <c r="D143" i="9"/>
  <c r="G143" i="9"/>
  <c r="I143" i="9"/>
  <c r="B143" i="9"/>
  <c r="F178" i="9"/>
  <c r="C178" i="9"/>
  <c r="G178" i="9"/>
  <c r="I178" i="9"/>
  <c r="E178" i="9"/>
  <c r="H178" i="9"/>
  <c r="B178" i="9"/>
  <c r="D178" i="9"/>
  <c r="G68" i="9"/>
  <c r="F68" i="9"/>
  <c r="C68" i="9"/>
  <c r="H68" i="9"/>
  <c r="E68" i="9"/>
  <c r="D68" i="9"/>
  <c r="B68" i="9"/>
  <c r="I68" i="9"/>
  <c r="F194" i="9"/>
  <c r="G194" i="9"/>
  <c r="H194" i="9"/>
  <c r="I194" i="9"/>
  <c r="D194" i="9"/>
  <c r="B194" i="9"/>
  <c r="E194" i="9"/>
  <c r="C194" i="9"/>
  <c r="H97" i="9"/>
  <c r="I97" i="9"/>
  <c r="D97" i="9"/>
  <c r="C97" i="9"/>
  <c r="E97" i="9"/>
  <c r="B97" i="9"/>
  <c r="F97" i="9"/>
  <c r="G97" i="9"/>
  <c r="C59" i="9"/>
  <c r="B59" i="9"/>
  <c r="G59" i="9"/>
  <c r="F59" i="9"/>
  <c r="E59" i="9"/>
  <c r="H59" i="9"/>
  <c r="D59" i="9"/>
  <c r="I59" i="9"/>
  <c r="G173" i="9"/>
  <c r="E173" i="9"/>
  <c r="I173" i="9"/>
  <c r="C173" i="9"/>
  <c r="B173" i="9"/>
  <c r="F173" i="9"/>
  <c r="D173" i="9"/>
  <c r="H173" i="9"/>
  <c r="H33" i="9"/>
  <c r="E33" i="9"/>
  <c r="D33" i="9"/>
  <c r="C33" i="9"/>
  <c r="G33" i="9"/>
  <c r="I33" i="9"/>
  <c r="F33" i="9"/>
  <c r="B33" i="9"/>
  <c r="D96" i="9"/>
  <c r="I96" i="9"/>
  <c r="C96" i="9"/>
  <c r="B96" i="9"/>
  <c r="F96" i="9"/>
  <c r="G96" i="9"/>
  <c r="H96" i="9"/>
  <c r="E96" i="9"/>
  <c r="C121" i="9"/>
  <c r="D121" i="9"/>
  <c r="H121" i="9"/>
  <c r="E121" i="9"/>
  <c r="B121" i="9"/>
  <c r="F121" i="9"/>
  <c r="I121" i="9"/>
  <c r="G121" i="9"/>
  <c r="B13" i="12"/>
  <c r="F68" i="5"/>
  <c r="E13" i="12" s="1"/>
  <c r="I68" i="5"/>
  <c r="F13" i="12" s="1"/>
  <c r="G68" i="5"/>
  <c r="D13" i="12" s="1"/>
  <c r="I150" i="9"/>
  <c r="E150" i="9"/>
  <c r="B150" i="9"/>
  <c r="C150" i="9"/>
  <c r="H150" i="9"/>
  <c r="D150" i="9"/>
  <c r="G150" i="9"/>
  <c r="F150" i="9"/>
  <c r="G101" i="9"/>
  <c r="D101" i="9"/>
  <c r="H101" i="9"/>
  <c r="C101" i="9"/>
  <c r="I101" i="9"/>
  <c r="F101" i="9"/>
  <c r="E101" i="9"/>
  <c r="B101" i="9"/>
  <c r="I202" i="9"/>
  <c r="B202" i="9"/>
  <c r="E202" i="9"/>
  <c r="H202" i="9"/>
  <c r="D202" i="9"/>
  <c r="F202" i="9"/>
  <c r="C202" i="9"/>
  <c r="G202" i="9"/>
  <c r="F145" i="9"/>
  <c r="E145" i="9"/>
  <c r="G145" i="9"/>
  <c r="I145" i="9"/>
  <c r="C145" i="9"/>
  <c r="B145" i="9"/>
  <c r="D145" i="9"/>
  <c r="H145" i="9"/>
  <c r="I124" i="9"/>
  <c r="F124" i="9"/>
  <c r="E124" i="9"/>
  <c r="D124" i="9"/>
  <c r="B124" i="9"/>
  <c r="H124" i="9"/>
  <c r="G124" i="9"/>
  <c r="C124" i="9"/>
  <c r="G168" i="9"/>
  <c r="H168" i="9"/>
  <c r="F168" i="9"/>
  <c r="E168" i="9"/>
  <c r="D168" i="9"/>
  <c r="B168" i="9"/>
  <c r="I168" i="9"/>
  <c r="C168" i="9"/>
  <c r="D147" i="9"/>
  <c r="E147" i="9"/>
  <c r="I147" i="9"/>
  <c r="H147" i="9"/>
  <c r="F147" i="9"/>
  <c r="C147" i="9"/>
  <c r="B147" i="9"/>
  <c r="G147" i="9"/>
  <c r="H92" i="9"/>
  <c r="E92" i="9"/>
  <c r="I92" i="9"/>
  <c r="B92" i="9"/>
  <c r="G92" i="9"/>
  <c r="D92" i="9"/>
  <c r="F92" i="9"/>
  <c r="C92" i="9"/>
  <c r="H182" i="9"/>
  <c r="E182" i="9"/>
  <c r="C182" i="9"/>
  <c r="F182" i="9"/>
  <c r="D182" i="9"/>
  <c r="B182" i="9"/>
  <c r="I182" i="9"/>
  <c r="G182" i="9"/>
  <c r="B82" i="9"/>
  <c r="G82" i="9"/>
  <c r="H82" i="9"/>
  <c r="F82" i="9"/>
  <c r="I82" i="9"/>
  <c r="D82" i="9"/>
  <c r="C82" i="9"/>
  <c r="E82" i="9"/>
  <c r="H152" i="9"/>
  <c r="F152" i="9"/>
  <c r="C152" i="9"/>
  <c r="G152" i="9"/>
  <c r="E152" i="9"/>
  <c r="I152" i="9"/>
  <c r="D152" i="9"/>
  <c r="B152" i="9"/>
  <c r="G90" i="9"/>
  <c r="H90" i="9"/>
  <c r="F90" i="9"/>
  <c r="E90" i="9"/>
  <c r="D90" i="9"/>
  <c r="I90" i="9"/>
  <c r="B90" i="9"/>
  <c r="C90" i="9"/>
  <c r="E61" i="9"/>
  <c r="D61" i="9"/>
  <c r="C61" i="9"/>
  <c r="H61" i="9"/>
  <c r="I61" i="9"/>
  <c r="F61" i="9"/>
  <c r="B61" i="9"/>
  <c r="G61" i="9"/>
  <c r="I67" i="9"/>
  <c r="F67" i="9"/>
  <c r="G67" i="9"/>
  <c r="B67" i="9"/>
  <c r="H67" i="9"/>
  <c r="E67" i="9"/>
  <c r="D67" i="9"/>
  <c r="C67" i="9"/>
  <c r="I115" i="9"/>
  <c r="F115" i="9"/>
  <c r="B115" i="9"/>
  <c r="H115" i="9"/>
  <c r="G115" i="9"/>
  <c r="C115" i="9"/>
  <c r="E115" i="9"/>
  <c r="D115" i="9"/>
  <c r="F165" i="9"/>
  <c r="D165" i="9"/>
  <c r="G165" i="9"/>
  <c r="B165" i="9"/>
  <c r="H165" i="9"/>
  <c r="E165" i="9"/>
  <c r="I165" i="9"/>
  <c r="C165" i="9"/>
  <c r="C45" i="9"/>
  <c r="B45" i="9"/>
  <c r="E45" i="9"/>
  <c r="D45" i="9"/>
  <c r="F45" i="9"/>
  <c r="H45" i="9"/>
  <c r="G45" i="9"/>
  <c r="I45" i="9"/>
  <c r="B149" i="9"/>
  <c r="D149" i="9"/>
  <c r="F149" i="9"/>
  <c r="C149" i="9"/>
  <c r="I149" i="9"/>
  <c r="G149" i="9"/>
  <c r="E149" i="9"/>
  <c r="H149" i="9"/>
  <c r="H15" i="9"/>
  <c r="G15" i="9"/>
  <c r="F15" i="9"/>
  <c r="E15" i="9"/>
  <c r="B15" i="9"/>
  <c r="D15" i="9"/>
  <c r="I15" i="9"/>
  <c r="C15" i="9"/>
  <c r="H243" i="9"/>
  <c r="I243" i="9"/>
  <c r="E243" i="9"/>
  <c r="D243" i="9"/>
  <c r="C243" i="9"/>
  <c r="G243" i="9"/>
  <c r="F243" i="9"/>
  <c r="B243" i="9"/>
  <c r="F94" i="9"/>
  <c r="C94" i="9"/>
  <c r="I94" i="9"/>
  <c r="H94" i="9"/>
  <c r="G94" i="9"/>
  <c r="B94" i="9"/>
  <c r="D94" i="9"/>
  <c r="E94" i="9"/>
  <c r="D16" i="9"/>
  <c r="I16" i="9"/>
  <c r="B16" i="9"/>
  <c r="F16" i="9"/>
  <c r="E16" i="9"/>
  <c r="C16" i="9"/>
  <c r="H16" i="9"/>
  <c r="G16" i="9"/>
  <c r="I244" i="9"/>
  <c r="D244" i="9"/>
  <c r="E244" i="9"/>
  <c r="H244" i="9"/>
  <c r="G244" i="9"/>
  <c r="F244" i="9"/>
  <c r="C244" i="9"/>
  <c r="B244" i="9"/>
  <c r="F216" i="9"/>
  <c r="G216" i="9"/>
  <c r="C216" i="9"/>
  <c r="I216" i="9"/>
  <c r="H216" i="9"/>
  <c r="D216" i="9"/>
  <c r="E216" i="9"/>
  <c r="B216" i="9"/>
  <c r="H259" i="9"/>
  <c r="B259" i="9"/>
  <c r="G259" i="9"/>
  <c r="C259" i="9"/>
  <c r="D259" i="9"/>
  <c r="F259" i="9"/>
  <c r="E259" i="9"/>
  <c r="I259" i="9"/>
  <c r="A15" i="12"/>
  <c r="B70" i="5"/>
  <c r="H70" i="5" s="1"/>
  <c r="D70" i="5"/>
  <c r="C15" i="12" s="1"/>
  <c r="E75" i="1"/>
  <c r="A71" i="5"/>
  <c r="G74" i="9"/>
  <c r="H74" i="9"/>
  <c r="F74" i="9"/>
  <c r="C74" i="9"/>
  <c r="E74" i="9"/>
  <c r="D74" i="9"/>
  <c r="B74" i="9"/>
  <c r="I74" i="9"/>
  <c r="H17" i="9"/>
  <c r="I17" i="9"/>
  <c r="G17" i="9"/>
  <c r="C17" i="9"/>
  <c r="B17" i="9"/>
  <c r="F17" i="9"/>
  <c r="E17" i="9"/>
  <c r="D17" i="9"/>
  <c r="H49" i="9"/>
  <c r="G49" i="9"/>
  <c r="F49" i="9"/>
  <c r="I49" i="9"/>
  <c r="B49" i="9"/>
  <c r="E49" i="9"/>
  <c r="D49" i="9"/>
  <c r="C49" i="9"/>
  <c r="G172" i="9"/>
  <c r="B172" i="9"/>
  <c r="E172" i="9"/>
  <c r="D172" i="9"/>
  <c r="I172" i="9"/>
  <c r="H172" i="9"/>
  <c r="F172" i="9"/>
  <c r="C172" i="9"/>
  <c r="G69" i="9"/>
  <c r="D69" i="9"/>
  <c r="C69" i="9"/>
  <c r="F69" i="9"/>
  <c r="E69" i="9"/>
  <c r="B69" i="9"/>
  <c r="I69" i="9"/>
  <c r="H69" i="9"/>
  <c r="G85" i="9"/>
  <c r="D85" i="9"/>
  <c r="E85" i="9"/>
  <c r="C85" i="9"/>
  <c r="I85" i="9"/>
  <c r="B85" i="9"/>
  <c r="H85" i="9"/>
  <c r="F85" i="9"/>
  <c r="H108" i="9"/>
  <c r="E108" i="9"/>
  <c r="G108" i="9"/>
  <c r="C108" i="9"/>
  <c r="B108" i="9"/>
  <c r="I108" i="9"/>
  <c r="F108" i="9"/>
  <c r="D108" i="9"/>
  <c r="H226" i="9"/>
  <c r="G226" i="9"/>
  <c r="B226" i="9"/>
  <c r="D226" i="9"/>
  <c r="I226" i="9"/>
  <c r="F226" i="9"/>
  <c r="E226" i="9"/>
  <c r="C226" i="9"/>
  <c r="E148" i="9"/>
  <c r="B148" i="9"/>
  <c r="F148" i="9"/>
  <c r="D148" i="9"/>
  <c r="I148" i="9"/>
  <c r="H148" i="9"/>
  <c r="G148" i="9"/>
  <c r="C148" i="9"/>
  <c r="I40" i="9"/>
  <c r="C40" i="9"/>
  <c r="B40" i="9"/>
  <c r="F40" i="9"/>
  <c r="E40" i="9"/>
  <c r="H40" i="9"/>
  <c r="D40" i="9"/>
  <c r="G40" i="9"/>
  <c r="E47" i="9"/>
  <c r="D47" i="9"/>
  <c r="I47" i="9"/>
  <c r="H47" i="9"/>
  <c r="F47" i="9"/>
  <c r="B47" i="9"/>
  <c r="C47" i="9"/>
  <c r="G47" i="9"/>
  <c r="I83" i="9"/>
  <c r="F83" i="9"/>
  <c r="C83" i="9"/>
  <c r="B83" i="9"/>
  <c r="H83" i="9"/>
  <c r="E83" i="9"/>
  <c r="G83" i="9"/>
  <c r="D83" i="9"/>
  <c r="B169" i="9"/>
  <c r="I169" i="9"/>
  <c r="E169" i="9"/>
  <c r="F169" i="9"/>
  <c r="C169" i="9"/>
  <c r="H169" i="9"/>
  <c r="G169" i="9"/>
  <c r="D169" i="9"/>
  <c r="I242" i="9"/>
  <c r="D242" i="9"/>
  <c r="B242" i="9"/>
  <c r="C242" i="9"/>
  <c r="E242" i="9"/>
  <c r="G242" i="9"/>
  <c r="F242" i="9"/>
  <c r="H242" i="9"/>
  <c r="E54" i="9"/>
  <c r="D54" i="9"/>
  <c r="F54" i="9"/>
  <c r="C54" i="9"/>
  <c r="I54" i="9"/>
  <c r="G54" i="9"/>
  <c r="B54" i="9"/>
  <c r="H54" i="9"/>
  <c r="G133" i="9"/>
  <c r="F133" i="9"/>
  <c r="C133" i="9"/>
  <c r="I133" i="9"/>
  <c r="H133" i="9"/>
  <c r="E133" i="9"/>
  <c r="D133" i="9"/>
  <c r="B133" i="9"/>
  <c r="G70" i="9"/>
  <c r="F70" i="9"/>
  <c r="C70" i="9"/>
  <c r="B70" i="9"/>
  <c r="H70" i="9"/>
  <c r="I70" i="9"/>
  <c r="E70" i="9"/>
  <c r="D70" i="9"/>
  <c r="I248" i="9"/>
  <c r="D248" i="9"/>
  <c r="F248" i="9"/>
  <c r="E248" i="9"/>
  <c r="B248" i="9"/>
  <c r="C248" i="9"/>
  <c r="G248" i="9"/>
  <c r="H248" i="9"/>
  <c r="G252" i="9"/>
  <c r="D252" i="9"/>
  <c r="F252" i="9"/>
  <c r="E252" i="9"/>
  <c r="C252" i="9"/>
  <c r="B252" i="9"/>
  <c r="I252" i="9"/>
  <c r="H252" i="9"/>
  <c r="C134" i="9"/>
  <c r="E134" i="9"/>
  <c r="B134" i="9"/>
  <c r="G134" i="9"/>
  <c r="D134" i="9"/>
  <c r="F134" i="9"/>
  <c r="H134" i="9"/>
  <c r="I134" i="9"/>
  <c r="B107" i="9"/>
  <c r="C107" i="9"/>
  <c r="I107" i="9"/>
  <c r="D107" i="9"/>
  <c r="E107" i="9"/>
  <c r="F107" i="9"/>
  <c r="H107" i="9"/>
  <c r="G107" i="9"/>
  <c r="G117" i="9"/>
  <c r="D117" i="9"/>
  <c r="B117" i="9"/>
  <c r="I117" i="9"/>
  <c r="E117" i="9"/>
  <c r="H117" i="9"/>
  <c r="F117" i="9"/>
  <c r="C117" i="9"/>
  <c r="B257" i="9"/>
  <c r="H257" i="9"/>
  <c r="I257" i="9"/>
  <c r="F257" i="9"/>
  <c r="E257" i="9"/>
  <c r="C257" i="9"/>
  <c r="D257" i="9"/>
  <c r="G257" i="9"/>
  <c r="H60" i="9"/>
  <c r="E60" i="9"/>
  <c r="F60" i="9"/>
  <c r="D60" i="9"/>
  <c r="G60" i="9"/>
  <c r="C60" i="9"/>
  <c r="B60" i="9"/>
  <c r="I60" i="9"/>
  <c r="H12" i="9"/>
  <c r="E12" i="9"/>
  <c r="G12" i="9"/>
  <c r="F12" i="9"/>
  <c r="C12" i="9"/>
  <c r="I12" i="9"/>
  <c r="D12" i="9"/>
  <c r="B12" i="9"/>
  <c r="E190" i="9"/>
  <c r="H190" i="9"/>
  <c r="D190" i="9"/>
  <c r="C190" i="9"/>
  <c r="I190" i="9"/>
  <c r="G190" i="9"/>
  <c r="F190" i="9"/>
  <c r="B190" i="9"/>
  <c r="E132" i="9"/>
  <c r="F132" i="9"/>
  <c r="B132" i="9"/>
  <c r="H132" i="9"/>
  <c r="G132" i="9"/>
  <c r="I132" i="9"/>
  <c r="C132" i="9"/>
  <c r="D132" i="9"/>
  <c r="G95" i="9"/>
  <c r="H95" i="9"/>
  <c r="I95" i="9"/>
  <c r="E95" i="9"/>
  <c r="F95" i="9"/>
  <c r="C95" i="9"/>
  <c r="D95" i="9"/>
  <c r="B95" i="9"/>
  <c r="C73" i="9"/>
  <c r="G73" i="9"/>
  <c r="F73" i="9"/>
  <c r="D73" i="9"/>
  <c r="E73" i="9"/>
  <c r="B73" i="9"/>
  <c r="I73" i="9"/>
  <c r="H73" i="9"/>
  <c r="H139" i="9"/>
  <c r="G139" i="9"/>
  <c r="C139" i="9"/>
  <c r="B139" i="9"/>
  <c r="F139" i="9"/>
  <c r="I139" i="9"/>
  <c r="D139" i="9"/>
  <c r="E139" i="9"/>
  <c r="F181" i="9"/>
  <c r="C181" i="9"/>
  <c r="G181" i="9"/>
  <c r="I181" i="9"/>
  <c r="H181" i="9"/>
  <c r="E181" i="9"/>
  <c r="D181" i="9"/>
  <c r="B181" i="9"/>
  <c r="F62" i="9"/>
  <c r="C62" i="9"/>
  <c r="G62" i="9"/>
  <c r="E62" i="9"/>
  <c r="D62" i="9"/>
  <c r="B62" i="9"/>
  <c r="H62" i="9"/>
  <c r="I62" i="9"/>
  <c r="D161" i="9"/>
  <c r="C161" i="9"/>
  <c r="F161" i="9"/>
  <c r="E161" i="9"/>
  <c r="I161" i="9"/>
  <c r="H161" i="9"/>
  <c r="B161" i="9"/>
  <c r="G161" i="9"/>
  <c r="I29" i="9"/>
  <c r="B29" i="9"/>
  <c r="C29" i="9"/>
  <c r="F29" i="9"/>
  <c r="H29" i="9"/>
  <c r="G29" i="9"/>
  <c r="E29" i="9"/>
  <c r="D29" i="9"/>
  <c r="B34" i="9"/>
  <c r="C34" i="9"/>
  <c r="E34" i="9"/>
  <c r="D34" i="9"/>
  <c r="H34" i="9"/>
  <c r="G34" i="9"/>
  <c r="F34" i="9"/>
  <c r="I34" i="9"/>
  <c r="G118" i="9"/>
  <c r="F118" i="9"/>
  <c r="I118" i="9"/>
  <c r="E118" i="9"/>
  <c r="H118" i="9"/>
  <c r="C118" i="9"/>
  <c r="D118" i="9"/>
  <c r="B118" i="9"/>
  <c r="D32" i="9"/>
  <c r="B32" i="9"/>
  <c r="I32" i="9"/>
  <c r="G32" i="9"/>
  <c r="H32" i="9"/>
  <c r="E32" i="9"/>
  <c r="F32" i="9"/>
  <c r="C32" i="9"/>
  <c r="H11" i="9"/>
  <c r="G11" i="9"/>
  <c r="I11" i="9"/>
  <c r="F11" i="9"/>
  <c r="E11" i="9"/>
  <c r="D11" i="9"/>
  <c r="C11" i="9"/>
  <c r="B11" i="9"/>
  <c r="I218" i="9"/>
  <c r="F218" i="9"/>
  <c r="E218" i="9"/>
  <c r="C218" i="9"/>
  <c r="B218" i="9"/>
  <c r="D218" i="9"/>
  <c r="G218" i="9"/>
  <c r="H218" i="9"/>
  <c r="D162" i="9"/>
  <c r="F162" i="9"/>
  <c r="E162" i="9"/>
  <c r="I162" i="9"/>
  <c r="G162" i="9"/>
  <c r="H162" i="9"/>
  <c r="C162" i="9"/>
  <c r="B162" i="9"/>
  <c r="K70" i="5" l="1"/>
  <c r="A16" i="12"/>
  <c r="A72" i="5"/>
  <c r="B71" i="5"/>
  <c r="H71" i="5" s="1"/>
  <c r="C71" i="5"/>
  <c r="E76" i="1"/>
  <c r="D13" i="1"/>
  <c r="E70" i="5"/>
  <c r="E14" i="12"/>
  <c r="F75" i="1"/>
  <c r="G75" i="1"/>
  <c r="C70" i="5"/>
  <c r="B15" i="12" l="1"/>
  <c r="I70" i="5"/>
  <c r="F15" i="12" s="1"/>
  <c r="F70" i="5"/>
  <c r="G70" i="5"/>
  <c r="D15" i="12" s="1"/>
  <c r="A17" i="12"/>
  <c r="B72" i="5"/>
  <c r="H72" i="5" s="1"/>
  <c r="K72" i="5"/>
  <c r="C72" i="5"/>
  <c r="E77" i="1"/>
  <c r="E72" i="5"/>
  <c r="B16" i="12"/>
  <c r="I71" i="5"/>
  <c r="F16" i="12" s="1"/>
  <c r="F71" i="5"/>
  <c r="D11" i="1" s="1"/>
  <c r="E35" i="11"/>
  <c r="F35" i="11" s="1"/>
  <c r="B40" i="11"/>
  <c r="C41" i="11"/>
  <c r="C35" i="11"/>
  <c r="C48" i="11"/>
  <c r="B36" i="11"/>
  <c r="B37" i="11" s="1"/>
  <c r="B41" i="11"/>
  <c r="C40" i="11"/>
  <c r="B31" i="11"/>
  <c r="B29" i="11"/>
  <c r="C36" i="11"/>
  <c r="D36" i="11" s="1"/>
  <c r="C49" i="11"/>
  <c r="C47" i="11"/>
  <c r="G71" i="5"/>
  <c r="D16" i="12" s="1"/>
  <c r="B32" i="11"/>
  <c r="C20" i="4"/>
  <c r="E71" i="5"/>
  <c r="K71" i="5"/>
  <c r="E16" i="12" s="1"/>
  <c r="D71" i="5"/>
  <c r="C16" i="12" s="1"/>
  <c r="F76" i="1"/>
  <c r="G76" i="1"/>
  <c r="E15" i="12"/>
  <c r="D40" i="11" l="1"/>
  <c r="E40" i="11" s="1"/>
  <c r="F40" i="11"/>
  <c r="G40" i="11"/>
  <c r="B17" i="12"/>
  <c r="I72" i="5"/>
  <c r="F17" i="12" s="1"/>
  <c r="F72" i="5"/>
  <c r="C73" i="5"/>
  <c r="G72" i="5"/>
  <c r="D17" i="12" s="1"/>
  <c r="D72" i="5"/>
  <c r="E73" i="5"/>
  <c r="B28" i="11"/>
  <c r="B30" i="11"/>
  <c r="G41" i="11"/>
  <c r="F41" i="11"/>
  <c r="D41" i="11"/>
  <c r="E41" i="11" s="1"/>
  <c r="C22" i="4" s="1"/>
  <c r="F77" i="1"/>
  <c r="G77" i="1"/>
  <c r="E17" i="12"/>
  <c r="D35" i="11"/>
  <c r="C37" i="11"/>
  <c r="C17" i="12" l="1"/>
  <c r="D73" i="5"/>
  <c r="A43" i="11"/>
  <c r="B41" i="8" l="1"/>
  <c r="B42" i="8"/>
  <c r="B43" i="8"/>
</calcChain>
</file>

<file path=xl/sharedStrings.xml><?xml version="1.0" encoding="utf-8"?>
<sst xmlns="http://schemas.openxmlformats.org/spreadsheetml/2006/main" count="2849" uniqueCount="717">
  <si>
    <t>DATA INTELLIGENCE DASHBOARD  |  Customer Transactions</t>
  </si>
  <si>
    <t>Criteria helpers</t>
  </si>
  <si>
    <t>Region</t>
  </si>
  <si>
    <t>All</t>
  </si>
  <si>
    <t>Category</t>
  </si>
  <si>
    <t>From</t>
  </si>
  <si>
    <t>To</t>
  </si>
  <si>
    <t>TOTAL REVENUE</t>
  </si>
  <si>
    <t>ORDERS</t>
  </si>
  <si>
    <t>UNITS SOLD</t>
  </si>
  <si>
    <t>AVG ORDER VALUE</t>
  </si>
  <si>
    <t>ACTIVE CUSTOMERS</t>
  </si>
  <si>
    <t>ORDERS / CUSTOMER</t>
  </si>
  <si>
    <t>Revenue / Orders</t>
  </si>
  <si>
    <t>Purchase frequency</t>
  </si>
  <si>
    <t>AOV vs OVERALL AVERAGE</t>
  </si>
  <si>
    <t>LATEST FULL-MONTH GROWTH</t>
  </si>
  <si>
    <t>REPEAT CUSTOMER RATE</t>
  </si>
  <si>
    <t>TOP REGION</t>
  </si>
  <si>
    <t>TOP PRODUCT</t>
  </si>
  <si>
    <t>TOP CUSTOMER (ALL-TIME)</t>
  </si>
  <si>
    <t>Selection vs all data</t>
  </si>
  <si>
    <t>Target: 90%+ (green)</t>
  </si>
  <si>
    <t>Top 5 Customers (all-time)</t>
  </si>
  <si>
    <t>Payment Mix &amp; Segment</t>
  </si>
  <si>
    <t>Rank</t>
  </si>
  <si>
    <t>Customer</t>
  </si>
  <si>
    <t>Revenue</t>
  </si>
  <si>
    <t>Orders</t>
  </si>
  <si>
    <t>% of Total</t>
  </si>
  <si>
    <t>Payment Method</t>
  </si>
  <si>
    <t>% Share</t>
  </si>
  <si>
    <t>Segment</t>
  </si>
  <si>
    <t>Chart data (recalculates with the filters above)</t>
  </si>
  <si>
    <t>Month Start</t>
  </si>
  <si>
    <t>Month</t>
  </si>
  <si>
    <t>Product</t>
  </si>
  <si>
    <t>Central</t>
  </si>
  <si>
    <t>Appliances</t>
  </si>
  <si>
    <t>East</t>
  </si>
  <si>
    <t>Electronics</t>
  </si>
  <si>
    <t>North</t>
  </si>
  <si>
    <t>Furniture</t>
  </si>
  <si>
    <t>South</t>
  </si>
  <si>
    <t>West</t>
  </si>
  <si>
    <t>EXECUTIVE CHARTS  |  Customer Transactions Analytics</t>
  </si>
  <si>
    <t>&lt;&lt; Dashboard</t>
  </si>
  <si>
    <t>1   REVENUE TREND &amp; MOMENTUM</t>
  </si>
  <si>
    <t>2   PRODUCT &amp; CATEGORY MIX</t>
  </si>
  <si>
    <t>3   REGIONAL &amp; PAYMENT PERFORMANCE</t>
  </si>
  <si>
    <t>4   CUSTOMER INSIGHTS</t>
  </si>
  <si>
    <t>Visualizations</t>
  </si>
  <si>
    <t>Insights Report - Data Storytelling</t>
  </si>
  <si>
    <t>Executive Summary</t>
  </si>
  <si>
    <t>Key metric</t>
  </si>
  <si>
    <t>Value</t>
  </si>
  <si>
    <t>Total Revenue</t>
  </si>
  <si>
    <t>Customers</t>
  </si>
  <si>
    <t>Avg Order Value</t>
  </si>
  <si>
    <t>#</t>
  </si>
  <si>
    <t>Theme</t>
  </si>
  <si>
    <t>What the data says</t>
  </si>
  <si>
    <t>So what - recommendation</t>
  </si>
  <si>
    <t>Category mix</t>
  </si>
  <si>
    <t>Protect the electronics franchise (stock, pricing, supplier terms). Lift low-value appliance baskets with bundles and add-on offers.</t>
  </si>
  <si>
    <t>Product concentration</t>
  </si>
  <si>
    <t>Cross-sell accessories (keyboards, monitors, headphones) at checkout for premium devices; monitor stock-outs on the top two SKUs.</t>
  </si>
  <si>
    <t>Volume vs value</t>
  </si>
  <si>
    <t>Use high-frequency, lower-ticket items as traffic builders and pair them with high-ticket items to grow basket value.</t>
  </si>
  <si>
    <t>Regional performance</t>
  </si>
  <si>
    <t>Replicate the best region's playbook; run a diagnostic and targeted campaign in the weakest region before adding spend.</t>
  </si>
  <si>
    <t>Customer concentration</t>
  </si>
  <si>
    <t>Assign account managers and loyalty perks to High-Value customers; track their order frequency as an early-warning KPI.</t>
  </si>
  <si>
    <t>Repeat behaviour</t>
  </si>
  <si>
    <t>Retention is strong - shift focus from re-activation to increasing spend per visit (upsell, bundles, subscriptions).</t>
  </si>
  <si>
    <t>Seasonality</t>
  </si>
  <si>
    <t>Plan inventory and promotions around peak months; use targeted offers to lift the slow months. Note first/last month are partial.</t>
  </si>
  <si>
    <t>Payment mix</t>
  </si>
  <si>
    <t>No payment dependency risk - keep all four methods; test small incentives on lower-cost rails.</t>
  </si>
  <si>
    <t>Regression drivers</t>
  </si>
  <si>
    <t>Both quantity and price move order value, so volume incentives and premium mix both pay off. Do not extrapolate a trend - demand is seasonal/volatile.</t>
  </si>
  <si>
    <t>Data quality</t>
  </si>
  <si>
    <t>Fix the customer master (one record per customer) before using segment/tenure for decisions; treat current segment cuts as transaction-level.</t>
  </si>
  <si>
    <t>Sales Analysis</t>
  </si>
  <si>
    <t>1. Revenue by Region</t>
  </si>
  <si>
    <t>Units Sold</t>
  </si>
  <si>
    <t>% of Revenue</t>
  </si>
  <si>
    <t>Total</t>
  </si>
  <si>
    <t>2. Revenue by Category</t>
  </si>
  <si>
    <t>3. Revenue by Payment Method</t>
  </si>
  <si>
    <t>Cash</t>
  </si>
  <si>
    <t>Credit Card</t>
  </si>
  <si>
    <t>Debit Card</t>
  </si>
  <si>
    <t>PayPal</t>
  </si>
  <si>
    <t>4. Revenue by Customer Segment (as recorded per transaction)</t>
  </si>
  <si>
    <t>Basic</t>
  </si>
  <si>
    <t>Standard</t>
  </si>
  <si>
    <t>Premium</t>
  </si>
  <si>
    <t>5. Revenue by Product</t>
  </si>
  <si>
    <t>Product ID</t>
  </si>
  <si>
    <t>Abbreviation</t>
  </si>
  <si>
    <t>Orders Rank</t>
  </si>
  <si>
    <t>Laptop</t>
  </si>
  <si>
    <t>Smartphone</t>
  </si>
  <si>
    <t>Headphones</t>
  </si>
  <si>
    <t>Coffee Maker</t>
  </si>
  <si>
    <t>Blender</t>
  </si>
  <si>
    <t>Office Chair</t>
  </si>
  <si>
    <t>Desk</t>
  </si>
  <si>
    <t>Bookshelf</t>
  </si>
  <si>
    <t>Monitor</t>
  </si>
  <si>
    <t>Keyboard</t>
  </si>
  <si>
    <t>6. Region x Category Revenue Matrix (GroupBy cross-tab)</t>
  </si>
  <si>
    <t>7. Monthly Revenue Trend (EOMONTH-based month buckets)</t>
  </si>
  <si>
    <t>Month End</t>
  </si>
  <si>
    <t>Units</t>
  </si>
  <si>
    <t>MoM Growth</t>
  </si>
  <si>
    <t>Cumulative Revenue</t>
  </si>
  <si>
    <t>Days of Data</t>
  </si>
  <si>
    <t>Daily Run-Rate</t>
  </si>
  <si>
    <t>Month #</t>
  </si>
  <si>
    <t>Coverage</t>
  </si>
  <si>
    <t>Customer Analysis - GroupBy &amp; High-Value Customers</t>
  </si>
  <si>
    <t>High-Value percentile cut-off</t>
  </si>
  <si>
    <t>High-Value customers</t>
  </si>
  <si>
    <t>Repeat customers (2+ orders)</t>
  </si>
  <si>
    <t>High-Value revenue threshold</t>
  </si>
  <si>
    <t>Revenue from High-Value</t>
  </si>
  <si>
    <t>Repeat customer rate</t>
  </si>
  <si>
    <t>H1 / H2 split date (mid-point of data)</t>
  </si>
  <si>
    <t>% of total revenue</t>
  </si>
  <si>
    <t>Customers with conflicting "Since" dates</t>
  </si>
  <si>
    <t>Top 10 Customers by Revenue</t>
  </si>
  <si>
    <t>Customer ID</t>
  </si>
  <si>
    <t>Customer Name</t>
  </si>
  <si>
    <t>% of Total Revenue</t>
  </si>
  <si>
    <t>Cumulative %</t>
  </si>
  <si>
    <t>Tier</t>
  </si>
  <si>
    <t>Top 10</t>
  </si>
  <si>
    <t>Customer Master (one row per customer) - GroupBy by Customer_ID</t>
  </si>
  <si>
    <t>Initials</t>
  </si>
  <si>
    <t>Short Code</t>
  </si>
  <si>
    <t>First Purchase</t>
  </si>
  <si>
    <t>Last Purchase</t>
  </si>
  <si>
    <t>Customer Since (earliest)</t>
  </si>
  <si>
    <t>Tenure (Yrs, to TODAY)</t>
  </si>
  <si>
    <t>Since-date Conflict?</t>
  </si>
  <si>
    <t>Revenue Rank</t>
  </si>
  <si>
    <t>Unique Rank (tie-break)</t>
  </si>
  <si>
    <t>Value Tier</t>
  </si>
  <si>
    <t>Repeat?</t>
  </si>
  <si>
    <t>Orders Unique Rank</t>
  </si>
  <si>
    <t>Active H1</t>
  </si>
  <si>
    <t>Active H2</t>
  </si>
  <si>
    <t>H1 Seq</t>
  </si>
  <si>
    <t>H2 Seq</t>
  </si>
  <si>
    <t>Days Since Last Purchase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</si>
  <si>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</si>
  <si>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</si>
  <si>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</si>
  <si>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</si>
  <si>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</si>
  <si>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</si>
  <si>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</si>
  <si>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</si>
  <si>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</si>
  <si>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</si>
  <si>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</si>
  <si>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</si>
  <si>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</si>
  <si>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</si>
  <si>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</si>
  <si>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</si>
  <si>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</si>
  <si>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</si>
  <si>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</si>
  <si>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</si>
  <si>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</si>
  <si>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</si>
  <si>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</si>
  <si>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</si>
  <si>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</si>
  <si>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</si>
  <si>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</si>
  <si>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</si>
  <si>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</si>
  <si>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</si>
  <si>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</si>
  <si>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</si>
  <si>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</si>
  <si>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</si>
  <si>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</si>
  <si>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</si>
  <si>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</si>
  <si>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</si>
  <si>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</si>
  <si>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</si>
  <si>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</si>
  <si>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</si>
  <si>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</si>
  <si>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</si>
  <si>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</si>
  <si>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</si>
  <si>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</si>
  <si>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</si>
  <si>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</si>
  <si>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</si>
  <si>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Names &amp; Lists - Frequent Products, Repeating Names, List Comparison, Abbreviations</t>
  </si>
  <si>
    <t>1. Most Frequently Purchased Product (COUNTIF / SUMIF on Raw Data)</t>
  </si>
  <si>
    <t>4. Abbreviations with TEXT / string functions</t>
  </si>
  <si>
    <t>Orders (count)</t>
  </si>
  <si>
    <t>Category Code</t>
  </si>
  <si>
    <t>Most frequently ordered product</t>
  </si>
  <si>
    <t>Most units sold</t>
  </si>
  <si>
    <t>Code</t>
  </si>
  <si>
    <t>Rule</t>
  </si>
  <si>
    <t>Highest revenue product</t>
  </si>
  <si>
    <t>UPPER(LEFT(x,3))</t>
  </si>
  <si>
    <t>2. Repeating Names (repeat-buyer analysis)</t>
  </si>
  <si>
    <t>Distinct customer names</t>
  </si>
  <si>
    <t>Names appearing more than once</t>
  </si>
  <si>
    <t>Names appearing only once</t>
  </si>
  <si>
    <t>Most repeated name</t>
  </si>
  <si>
    <t>Transaction</t>
  </si>
  <si>
    <t>Date (TEXT)</t>
  </si>
  <si>
    <t>Transaction Code</t>
  </si>
  <si>
    <t>Customer (Top 10)</t>
  </si>
  <si>
    <t>3. Compare Two Lists - extract matching names into a new column</t>
  </si>
  <si>
    <t>In both lists</t>
  </si>
  <si>
    <t>Only in List A</t>
  </si>
  <si>
    <t>Only in List B</t>
  </si>
  <si>
    <t>List A (H1 active)</t>
  </si>
  <si>
    <t>List B (H2 active)</t>
  </si>
  <si>
    <t>Matching names (in both)</t>
  </si>
  <si>
    <t>Date &amp; Time Functions - TODAY, NOW, DATEDIF, EOMONTH, Timestamp</t>
  </si>
  <si>
    <t>1. Live Date / Time Calculations</t>
  </si>
  <si>
    <t>Measure</t>
  </si>
  <si>
    <t>Result</t>
  </si>
  <si>
    <t>Function used</t>
  </si>
  <si>
    <t>Today</t>
  </si>
  <si>
    <t>TODAY()</t>
  </si>
  <si>
    <t>Now (date &amp; time)</t>
  </si>
  <si>
    <t>NOW()</t>
  </si>
  <si>
    <t>Weekday today</t>
  </si>
  <si>
    <t>TEXT(date,"dddd")</t>
  </si>
  <si>
    <t>First transaction date</t>
  </si>
  <si>
    <t>MIN()</t>
  </si>
  <si>
    <t>Last transaction date</t>
  </si>
  <si>
    <t>MAX()</t>
  </si>
  <si>
    <t>Data coverage (days)</t>
  </si>
  <si>
    <t>date subtraction</t>
  </si>
  <si>
    <t>Data coverage (complete months)</t>
  </si>
  <si>
    <t>DATEDIF(...,"M")</t>
  </si>
  <si>
    <t>Data coverage (Y / M / D)</t>
  </si>
  <si>
    <t>DATEDIF "Y","YM","MD"</t>
  </si>
  <si>
    <t>Days since last transaction</t>
  </si>
  <si>
    <t>TODAY() - MAX()</t>
  </si>
  <si>
    <t>Time since last transaction</t>
  </si>
  <si>
    <t>DATEDIF</t>
  </si>
  <si>
    <t>Month-end of last transaction</t>
  </si>
  <si>
    <t>EOMONTH(date,0)</t>
  </si>
  <si>
    <t>Month-end of current month</t>
  </si>
  <si>
    <t>EOMONTH(TODAY(),0)</t>
  </si>
  <si>
    <t>Days left in current month</t>
  </si>
  <si>
    <t>EOMONTH - TODAY</t>
  </si>
  <si>
    <t>Start of next month</t>
  </si>
  <si>
    <t>EOMONTH + 1</t>
  </si>
  <si>
    <t>Quarter-end of current quarter</t>
  </si>
  <si>
    <t>EOMONTH + ROUNDUP</t>
  </si>
  <si>
    <t>Month-end 3 months ahead</t>
  </si>
  <si>
    <t>EOMONTH(date,3)</t>
  </si>
  <si>
    <t>2. Customer Tenure with DATEDIF (Top 10 customers, measured to TODAY)</t>
  </si>
  <si>
    <t>Customer Since</t>
  </si>
  <si>
    <t>Years</t>
  </si>
  <si>
    <t>Months</t>
  </si>
  <si>
    <t>Days</t>
  </si>
  <si>
    <t>Tenure</t>
  </si>
  <si>
    <t>3. Create Timestamp (NOW + iterative calculation) - freezes when an entry is made</t>
  </si>
  <si>
    <t>Entry / Reference (type here)</t>
  </si>
  <si>
    <t>Timestamp (auto)</t>
  </si>
  <si>
    <t>TRX0001</t>
  </si>
  <si>
    <t>TRX0002</t>
  </si>
  <si>
    <t>TRX0003</t>
  </si>
  <si>
    <t>FILTER - Multi-value Return</t>
  </si>
  <si>
    <t>Matching revenue</t>
  </si>
  <si>
    <t>Average per match</t>
  </si>
  <si>
    <t>Min Total Amount ($)</t>
  </si>
  <si>
    <t>Matching transactions</t>
  </si>
  <si>
    <t>Transaction ID</t>
  </si>
  <si>
    <t>Date</t>
  </si>
  <si>
    <t>Qty</t>
  </si>
  <si>
    <t>Total Amount</t>
  </si>
  <si>
    <t>What-If Analysis - Scenarios &amp; Goal Seek</t>
  </si>
  <si>
    <t>1. Baseline (from Raw Data)</t>
  </si>
  <si>
    <t>Base Revenue</t>
  </si>
  <si>
    <t>Base Units</t>
  </si>
  <si>
    <t>Base Orders</t>
  </si>
  <si>
    <t>Avg Realised Price / Unit</t>
  </si>
  <si>
    <t>Gross Margin % (ASSUMPTION - not in data)</t>
  </si>
  <si>
    <t>Base COGS</t>
  </si>
  <si>
    <t>Base Gross Profit</t>
  </si>
  <si>
    <t>2. Scenario Manager Table (Base / Optimistic / Pessimistic)</t>
  </si>
  <si>
    <t>Driver</t>
  </si>
  <si>
    <t>Base</t>
  </si>
  <si>
    <t>Optimistic</t>
  </si>
  <si>
    <t>Pessimistic</t>
  </si>
  <si>
    <t>Live (selected)</t>
  </si>
  <si>
    <t>Price change %</t>
  </si>
  <si>
    <t>Volume change %</t>
  </si>
  <si>
    <t>Discount %</t>
  </si>
  <si>
    <t>Selected scenario</t>
  </si>
  <si>
    <t>Outcome</t>
  </si>
  <si>
    <t>Gross Profit</t>
  </si>
  <si>
    <t>Gross Margin %</t>
  </si>
  <si>
    <t>Revenue vs Base ($)</t>
  </si>
  <si>
    <t>Revenue vs Base (%)</t>
  </si>
  <si>
    <t>Gross Profit vs Base ($)</t>
  </si>
  <si>
    <t>3. Goal Seek - volume growth needed to hit a revenue target</t>
  </si>
  <si>
    <t>Price change % (assumption)</t>
  </si>
  <si>
    <t>Discount % (assumption)</t>
  </si>
  <si>
    <t>Target revenue growth % (assumption)</t>
  </si>
  <si>
    <t>Target revenue</t>
  </si>
  <si>
    <t>CHANGING CELL: volume change % (Goal Seek result)</t>
  </si>
  <si>
    <t>Result revenue (formula)</t>
  </si>
  <si>
    <t>Gap (result - target)</t>
  </si>
  <si>
    <t>Analytical check of required volume %</t>
  </si>
  <si>
    <t>Extra units required</t>
  </si>
  <si>
    <t>Status</t>
  </si>
  <si>
    <t>4. Goal Seek 2 - orders needed at current Avg Order Value</t>
  </si>
  <si>
    <t>Current Avg Order Value</t>
  </si>
  <si>
    <t>Required orders for target revenue</t>
  </si>
  <si>
    <t>Additional orders vs today</t>
  </si>
  <si>
    <t>Linear Regression (Data Analysis ToolPak-style output via LINEST)</t>
  </si>
  <si>
    <t>A. Transaction level: Total_Amount (Y) ~ Quantity + Unit_Price (X)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</si>
  <si>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</si>
  <si>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</si>
  <si>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</si>
  <si>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</si>
  <si>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</si>
  <si>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</si>
  <si>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</si>
  <si>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</si>
  <si>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</si>
  <si>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</si>
  <si>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</si>
  <si>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</si>
  <si>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</si>
  <si>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</si>
  <si>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</si>
  <si>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</si>
  <si>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</si>
  <si>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</si>
  <si>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</si>
  <si>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</si>
  <si>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Quantity</t>
  </si>
  <si>
    <t>Unit_Price</t>
  </si>
  <si>
    <t>B. Monthly revenue trend: Revenue (Y) ~ Month # (X) - 11 full months (May-24 to Mar-25)</t>
  </si>
  <si>
    <t>C. 3-Month Forecast from the Trend Line (FORECAST)</t>
  </si>
  <si>
    <t>Forecast Revenue</t>
  </si>
  <si>
    <t>Chart Data - helper tables feeding the Executive Charts sheet (all formulas, recalculates with Raw Data)</t>
  </si>
  <si>
    <t>Blue = typed input (bucket limits). Black = formula. Do not delete: charts on "Executive Charts" read from here.</t>
  </si>
  <si>
    <t>1. Monthly trend (from Sales Analysis section 7)</t>
  </si>
  <si>
    <t>MoM Growth (full months)</t>
  </si>
  <si>
    <t>MoM growth is shown only when both the month and the month before it are full months (Apr-24 and Apr-25 are partial).</t>
  </si>
  <si>
    <t>2. Products ranked by revenue (sorted with INDEX/MATCH)</t>
  </si>
  <si>
    <t>Product (unsorted)</t>
  </si>
  <si>
    <t>Unique Rank</t>
  </si>
  <si>
    <t>3. Revenue by Region x Category</t>
  </si>
  <si>
    <t>4. Region revenue and average order value</t>
  </si>
  <si>
    <t>5. Revenue by Region x Payment Method</t>
  </si>
  <si>
    <t>6. Orders and revenue by weekday</t>
  </si>
  <si>
    <t>Weekday</t>
  </si>
  <si>
    <t>Day # (Mon=1)</t>
  </si>
  <si>
    <t>Mon</t>
  </si>
  <si>
    <t>Tue</t>
  </si>
  <si>
    <t>Wed</t>
  </si>
  <si>
    <t>Thu</t>
  </si>
  <si>
    <t>Fri</t>
  </si>
  <si>
    <t>Sat</t>
  </si>
  <si>
    <t>Sun</t>
  </si>
  <si>
    <t>7. Top 10 customers - Pareto (revenue + cumulative share of total)</t>
  </si>
  <si>
    <t>Cumulative % of Total</t>
  </si>
  <si>
    <t>8. Revenue by customer segment (as recorded)</t>
  </si>
  <si>
    <t>9. Customer behaviour</t>
  </si>
  <si>
    <t>Customer type</t>
  </si>
  <si>
    <t>Value tier</t>
  </si>
  <si>
    <t>Repeat (2+ orders)</t>
  </si>
  <si>
    <t>High-Value</t>
  </si>
  <si>
    <t>One-time</t>
  </si>
  <si>
    <t>10. Order value distribution (bucket limits are editable inputs)</t>
  </si>
  <si>
    <t>Order value band</t>
  </si>
  <si>
    <t>From ($)</t>
  </si>
  <si>
    <t>To ($, below)</t>
  </si>
  <si>
    <t>% of Orders</t>
  </si>
  <si>
    <t>Check: total orders in bands must equal total orders in Raw Data</t>
  </si>
  <si>
    <t>Transaction_ID</t>
  </si>
  <si>
    <t>Customer_ID</t>
  </si>
  <si>
    <t>Customer_Name</t>
  </si>
  <si>
    <t>Product_ID</t>
  </si>
  <si>
    <t>Product_Name</t>
  </si>
  <si>
    <t>Payment_Method</t>
  </si>
  <si>
    <t>Customer_Segment</t>
  </si>
  <si>
    <t>Customer_Since</t>
  </si>
  <si>
    <t>Total_Amount</t>
  </si>
  <si>
    <t>Month_End</t>
  </si>
  <si>
    <t>Tenure_at_Purchase_Yrs</t>
  </si>
  <si>
    <t>Customer_Txn_No</t>
  </si>
  <si>
    <t>Name_Repeat_Flag</t>
  </si>
  <si>
    <t>Product_Abbr</t>
  </si>
  <si>
    <t>Filter_Seq</t>
  </si>
  <si>
    <t>TRX0155</t>
  </si>
  <si>
    <t>Paul Baker</t>
  </si>
  <si>
    <t>P009</t>
  </si>
  <si>
    <t>TRX0023</t>
  </si>
  <si>
    <t>Joseph Jackson</t>
  </si>
  <si>
    <t>TRX0139</t>
  </si>
  <si>
    <t>Kevin Scott</t>
  </si>
  <si>
    <t>P005</t>
  </si>
  <si>
    <t>TRX0043</t>
  </si>
  <si>
    <t>Kathleen Bennett</t>
  </si>
  <si>
    <t>TRX0212</t>
  </si>
  <si>
    <t>Michael Brown</t>
  </si>
  <si>
    <t>P008</t>
  </si>
  <si>
    <t>TRX0092</t>
  </si>
  <si>
    <t>Dorothy Nelson</t>
  </si>
  <si>
    <t>TRX0193</t>
  </si>
  <si>
    <t>P003</t>
  </si>
  <si>
    <t>TRX0240</t>
  </si>
  <si>
    <t>Charles Allen</t>
  </si>
  <si>
    <t>TRX0135</t>
  </si>
  <si>
    <t>Robert Thomas</t>
  </si>
  <si>
    <t>P001</t>
  </si>
  <si>
    <t>TRX0185</t>
  </si>
  <si>
    <t>Karen Hill</t>
  </si>
  <si>
    <t>TRX0138</t>
  </si>
  <si>
    <t>Susan Green</t>
  </si>
  <si>
    <t>TRX0209</t>
  </si>
  <si>
    <t>TRX0246</t>
  </si>
  <si>
    <t>Peter Richardson</t>
  </si>
  <si>
    <t>TRX0067</t>
  </si>
  <si>
    <t>Dennis Gray</t>
  </si>
  <si>
    <t>TRX0191</t>
  </si>
  <si>
    <t>Michelle Rogers</t>
  </si>
  <si>
    <t>P002</t>
  </si>
  <si>
    <t>TRX0230</t>
  </si>
  <si>
    <t>George Adams</t>
  </si>
  <si>
    <t>TRX0049</t>
  </si>
  <si>
    <t>Mark Carter</t>
  </si>
  <si>
    <t>TRX0134</t>
  </si>
  <si>
    <t>Maria Garcia</t>
  </si>
  <si>
    <t>TRX0122</t>
  </si>
  <si>
    <t>TRX0222</t>
  </si>
  <si>
    <t>Virginia Sanders</t>
  </si>
  <si>
    <t>TRX0231</t>
  </si>
  <si>
    <t>Barbara Young</t>
  </si>
  <si>
    <t>TRX0239</t>
  </si>
  <si>
    <t>Patricia Moore</t>
  </si>
  <si>
    <t>TRX0204</t>
  </si>
  <si>
    <t>Cynthia Price</t>
  </si>
  <si>
    <t>TRX0242</t>
  </si>
  <si>
    <t>P007</t>
  </si>
  <si>
    <t>TRX0071</t>
  </si>
  <si>
    <t>Nancy Collins</t>
  </si>
  <si>
    <t>TRX0040</t>
  </si>
  <si>
    <t>TRX0235</t>
  </si>
  <si>
    <t>Linda Martin</t>
  </si>
  <si>
    <t>P004</t>
  </si>
  <si>
    <t>TRX0004</t>
  </si>
  <si>
    <t>P010</t>
  </si>
  <si>
    <t>TRX0063</t>
  </si>
  <si>
    <t>Helen Roberts</t>
  </si>
  <si>
    <t>TRX0241</t>
  </si>
  <si>
    <t>Edward Mitchell</t>
  </si>
  <si>
    <t>TRX0029</t>
  </si>
  <si>
    <t>P006</t>
  </si>
  <si>
    <t>TRX0194</t>
  </si>
  <si>
    <t>Lisa Anderson</t>
  </si>
  <si>
    <t>TRX0130</t>
  </si>
  <si>
    <t>Emma Wilson</t>
  </si>
  <si>
    <t>TRX0041</t>
  </si>
  <si>
    <t>TRX0232</t>
  </si>
  <si>
    <t>TRX0021</t>
  </si>
  <si>
    <t>TRX0245</t>
  </si>
  <si>
    <t>Steven Turner</t>
  </si>
  <si>
    <t>TRX0015</t>
  </si>
  <si>
    <t>Jennifer Taylor</t>
  </si>
  <si>
    <t>TRX0202</t>
  </si>
  <si>
    <t>Harry Morgan</t>
  </si>
  <si>
    <t>TRX0042</t>
  </si>
  <si>
    <t>Daniel King</t>
  </si>
  <si>
    <t>TRX0128</t>
  </si>
  <si>
    <t>Sharon Butler</t>
  </si>
  <si>
    <t>TRX0117</t>
  </si>
  <si>
    <t>TRX0208</t>
  </si>
  <si>
    <t>Sarah Davis</t>
  </si>
  <si>
    <t>TRX0234</t>
  </si>
  <si>
    <t>TRX0121</t>
  </si>
  <si>
    <t>Betty Campbell</t>
  </si>
  <si>
    <t>TRX0220</t>
  </si>
  <si>
    <t>TRX0093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</si>
  <si>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</si>
  <si>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</si>
  <si>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</si>
  <si>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</si>
  <si>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</si>
  <si>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</si>
  <si>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</si>
  <si>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</si>
  <si>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</si>
  <si>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</si>
  <si>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</si>
  <si>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</si>
  <si>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</si>
  <si>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</si>
  <si>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</si>
  <si>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</si>
  <si>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</si>
  <si>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</si>
  <si>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David Martinez</t>
  </si>
  <si>
    <t>TRX0086</t>
  </si>
  <si>
    <t>Margaret Wright</t>
  </si>
  <si>
    <t>TRX0113</t>
  </si>
  <si>
    <t>TRX0114</t>
  </si>
  <si>
    <t>TRX0136</t>
  </si>
  <si>
    <t>TRX0018</t>
  </si>
  <si>
    <t>TRX0141</t>
  </si>
  <si>
    <t>Frank Torres</t>
  </si>
  <si>
    <t>TRX0097</t>
  </si>
  <si>
    <t>TRX0169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</si>
  <si>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</si>
  <si>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</si>
  <si>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</si>
  <si>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</si>
  <si>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</si>
  <si>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</si>
  <si>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</si>
  <si>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</si>
  <si>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</si>
  <si>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</si>
  <si>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TRX0217</t>
  </si>
  <si>
    <t>TRX0249</t>
  </si>
  <si>
    <t>TRX0065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</si>
  <si>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</si>
  <si>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</si>
  <si>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</si>
  <si>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</si>
  <si>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</si>
  <si>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</si>
  <si>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</si>
  <si>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</si>
  <si>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</si>
  <si>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</si>
  <si>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</si>
  <si>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</si>
  <si>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</si>
  <si>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Lawrence Reed</t>
  </si>
  <si>
    <t>TRX0037</t>
  </si>
  <si>
    <t>TRX0058</t>
  </si>
  <si>
    <t>TRX0170</t>
  </si>
  <si>
    <t>Carol Evans</t>
  </si>
  <si>
    <t>TRX0248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</si>
  <si>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</si>
  <si>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</si>
  <si>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</si>
  <si>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</si>
  <si>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</si>
  <si>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</si>
  <si>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</si>
  <si>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</si>
  <si>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</si>
  <si>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</si>
  <si>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</si>
  <si>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Ruth Brooks</t>
  </si>
  <si>
    <t>TRX0195</t>
  </si>
  <si>
    <t>TRX0054</t>
  </si>
  <si>
    <t>TRX0077</t>
  </si>
  <si>
    <t>TRX0111</t>
  </si>
  <si>
    <t>William White</t>
  </si>
  <si>
    <t>TRX0123</t>
  </si>
  <si>
    <t>TRX0177</t>
  </si>
  <si>
    <t>TRX0119</t>
  </si>
  <si>
    <t>TRX0181</t>
  </si>
  <si>
    <t>TRX0129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</si>
  <si>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</si>
  <si>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</si>
  <si>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</si>
  <si>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</si>
  <si>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</si>
  <si>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</si>
  <si>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</si>
  <si>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</si>
  <si>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</si>
  <si>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</si>
  <si>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</si>
  <si>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</si>
  <si>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</si>
  <si>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</si>
  <si>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</si>
  <si>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</si>
  <si>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</si>
  <si>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</si>
  <si>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</si>
  <si>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</si>
  <si>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</si>
  <si>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</si>
  <si>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</si>
  <si>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</si>
  <si>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</si>
  <si>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</si>
  <si>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</si>
  <si>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</si>
  <si>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</si>
  <si>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</si>
  <si>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</si>
  <si>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</si>
  <si>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</si>
  <si>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</si>
  <si>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</si>
  <si>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</si>
  <si>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</si>
  <si>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</si>
  <si>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</si>
  <si>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</si>
  <si>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</si>
  <si>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</si>
  <si>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</si>
  <si>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</si>
  <si>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</si>
  <si>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</si>
  <si>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</si>
  <si>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</si>
  <si>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</si>
  <si>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</si>
  <si>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</si>
  <si>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</si>
  <si>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</si>
  <si>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</si>
  <si>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</si>
  <si>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</si>
  <si>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</si>
  <si>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</si>
  <si>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</si>
  <si>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</si>
  <si>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</si>
  <si>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</si>
  <si>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</si>
  <si>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</si>
  <si>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</si>
  <si>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</si>
  <si>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</si>
  <si>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</si>
  <si>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</si>
  <si>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</si>
  <si>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</si>
  <si>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</si>
  <si>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</si>
  <si>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</si>
  <si>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</si>
  <si>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</si>
  <si>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</si>
  <si>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</si>
  <si>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</si>
  <si>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</si>
  <si>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</si>
  <si>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</si>
  <si>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</si>
  <si>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</si>
  <si>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</si>
  <si>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</si>
  <si>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</si>
  <si>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</si>
  <si>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</si>
  <si>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</si>
  <si>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</si>
  <si>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</si>
  <si>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</si>
  <si>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</si>
  <si>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</si>
  <si>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</si>
  <si>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</si>
  <si>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</si>
  <si>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</si>
  <si>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</si>
  <si>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</si>
  <si>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</si>
  <si>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</si>
  <si>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</si>
  <si>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</si>
  <si>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</si>
  <si>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</si>
  <si>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</si>
  <si>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</si>
  <si>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</si>
  <si>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</si>
  <si>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</si>
  <si>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</si>
  <si>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</si>
  <si>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</si>
  <si>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</si>
  <si>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</si>
  <si>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</si>
  <si>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TRX0124</t>
  </si>
  <si>
    <t>TRX0013</t>
  </si>
  <si>
    <t>TRX0019</t>
  </si>
  <si>
    <t>TRX0050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</si>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</sst>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dd\-mmm\-yyyy"/>
    <numFmt numFmtId="165" formatCode="\$#,##0"/>
    <numFmt numFmtId="166" formatCode="\$#,##0.00"/>
    <numFmt numFmtId="167" formatCode="0.0"/>
    <numFmt numFmtId="168" formatCode="\+0.0%;\-0.0%;0.0%"/>
    <numFmt numFmtId="169" formatCode="0.0%"/>
    <numFmt numFmtId="170" formatCode="mmm\-yy"/>
    <numFmt numFmtId="171" formatCode="dd\-mmm\-yyyy\ hh:mm:ss"/>
    <numFmt numFmtId="172" formatCode="\$#,##0;&quot;($&quot;#,##0\);\-"/>
    <numFmt numFmtId="173" formatCode="0.0000%"/>
    <numFmt numFmtId="174" formatCode="\$#,##0.00;&quot;($&quot;#,##0.00\);\$0.00"/>
    <numFmt numFmtId="175" formatCode="0.0000"/>
    <numFmt numFmtId="176" formatCode="0.0000E+00"/>
    <numFmt numFmtId="177" formatCode="#,##0.0000"/>
  </numFmts>
  <fonts count="38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20"/>
      <color rgb="FFFFFFFF"/>
      <name val="Arial"/>
      <family val="2"/>
      <charset val="1"/>
    </font>
    <font>
      <sz val="10"/>
      <color rgb="FFDDEBF7"/>
      <name val="Arial"/>
      <family val="2"/>
      <charset val="1"/>
    </font>
    <font>
      <i/>
      <sz val="8"/>
      <color rgb="FFA6A6A6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0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sz val="8"/>
      <color rgb="FFA6A6A6"/>
      <name val="Arial"/>
      <family val="2"/>
      <charset val="1"/>
    </font>
    <font>
      <b/>
      <sz val="8"/>
      <color rgb="FF595959"/>
      <name val="Arial"/>
      <family val="2"/>
      <charset val="1"/>
    </font>
    <font>
      <b/>
      <sz val="20"/>
      <color rgb="FF1F3864"/>
      <name val="Arial"/>
      <family val="2"/>
      <charset val="1"/>
    </font>
    <font>
      <i/>
      <sz val="8"/>
      <color rgb="FF7F7F7F"/>
      <name val="Arial"/>
      <family val="2"/>
      <charset val="1"/>
    </font>
    <font>
      <b/>
      <sz val="18"/>
      <color rgb="FF1F3864"/>
      <name val="Arial"/>
      <family val="2"/>
      <charset val="1"/>
    </font>
    <font>
      <b/>
      <sz val="16"/>
      <color rgb="FFC55A11"/>
      <name val="Arial"/>
      <family val="2"/>
      <charset val="1"/>
    </font>
    <font>
      <b/>
      <sz val="12"/>
      <color rgb="FF2E75B6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20"/>
      <color rgb="FFFFFFFF"/>
      <name val="Arial"/>
      <family val="2"/>
    </font>
    <font>
      <i/>
      <sz val="9"/>
      <color rgb="FFFFFFFF"/>
      <name val="Arial"/>
      <family val="2"/>
    </font>
    <font>
      <b/>
      <u/>
      <sz val="9"/>
      <color rgb="FFFFFFFF"/>
      <name val="Arial"/>
      <family val="2"/>
    </font>
    <font>
      <b/>
      <sz val="8"/>
      <color rgb="FF595959"/>
      <name val="Arial"/>
      <family val="2"/>
    </font>
    <font>
      <b/>
      <sz val="22"/>
      <color rgb="FF1F3864"/>
      <name val="Arial"/>
      <family val="2"/>
    </font>
    <font>
      <i/>
      <sz val="8"/>
      <color rgb="FF7F7F7F"/>
      <name val="Arial"/>
      <family val="2"/>
    </font>
    <font>
      <b/>
      <sz val="12"/>
      <color rgb="FF1F3864"/>
      <name val="Arial"/>
      <family val="2"/>
    </font>
    <font>
      <i/>
      <sz val="9"/>
      <color rgb="FF7F7F7F"/>
      <name val="Arial"/>
      <family val="2"/>
    </font>
    <font>
      <b/>
      <sz val="16"/>
      <color rgb="FF1F3864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3"/>
      <color rgb="FF1F3864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C55A11"/>
      <name val="Arial"/>
      <family val="2"/>
      <charset val="1"/>
    </font>
    <font>
      <sz val="10"/>
      <color rgb="FF595959"/>
      <name val="Arial"/>
      <family val="2"/>
      <charset val="1"/>
    </font>
    <font>
      <i/>
      <sz val="10"/>
      <color rgb="FF000000"/>
      <name val="Arial"/>
      <family val="2"/>
      <charset val="1"/>
    </font>
    <font>
      <b/>
      <sz val="14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color rgb="FFC55A1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F99"/>
        <bgColor rgb="FFFCE4D6"/>
      </patternFill>
    </fill>
    <fill>
      <patternFill patternType="solid">
        <fgColor rgb="FFF2F2F2"/>
        <bgColor rgb="FFEAF1FB"/>
      </patternFill>
    </fill>
    <fill>
      <patternFill patternType="solid">
        <fgColor rgb="FFF7F9FC"/>
        <bgColor rgb="FFFFFFFF"/>
      </patternFill>
    </fill>
    <fill>
      <patternFill patternType="solid">
        <fgColor rgb="FFEAF1FB"/>
        <bgColor rgb="FFF2F2F2"/>
      </patternFill>
    </fill>
    <fill>
      <patternFill patternType="solid">
        <fgColor rgb="FFDDEBF7"/>
        <bgColor rgb="FFEAF1FB"/>
      </patternFill>
    </fill>
    <fill>
      <patternFill patternType="solid">
        <fgColor rgb="FFED7D31"/>
        <bgColor rgb="FFFF8080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E75B6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medium">
        <color rgb="FF2E75B6"/>
      </top>
      <bottom/>
      <diagonal/>
    </border>
    <border>
      <left style="thin">
        <color rgb="FFD9D9D9"/>
      </left>
      <right style="thin">
        <color rgb="FFD9D9D9"/>
      </right>
      <top style="medium">
        <color rgb="FFF7F9FC"/>
      </top>
      <bottom/>
      <diagonal/>
    </border>
    <border>
      <left style="thin">
        <color rgb="FFD9D9D9"/>
      </left>
      <right style="thin">
        <color rgb="FFD9D9D9"/>
      </right>
      <top style="medium">
        <color rgb="FFF7F9FC"/>
      </top>
      <bottom style="thin">
        <color rgb="FFD9D9D9"/>
      </bottom>
      <diagonal/>
    </border>
    <border>
      <left style="thick">
        <color rgb="FFC55A11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6" fillId="0" borderId="1" xfId="0" applyFont="1" applyBorder="1"/>
    <xf numFmtId="0" fontId="15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9" fontId="12" fillId="4" borderId="3" xfId="0" applyNumberFormat="1" applyFont="1" applyFill="1" applyBorder="1" applyAlignment="1">
      <alignment horizontal="center" vertical="center" wrapText="1"/>
    </xf>
    <xf numFmtId="168" fontId="12" fillId="4" borderId="3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167" fontId="10" fillId="4" borderId="3" xfId="0" applyNumberFormat="1" applyFont="1" applyFill="1" applyBorder="1" applyAlignment="1">
      <alignment horizontal="center" vertical="center" wrapText="1"/>
    </xf>
    <xf numFmtId="166" fontId="10" fillId="4" borderId="3" xfId="0" applyNumberFormat="1" applyFont="1" applyFill="1" applyBorder="1" applyAlignment="1">
      <alignment horizontal="center" vertical="center" wrapText="1"/>
    </xf>
    <xf numFmtId="3" fontId="10" fillId="4" borderId="3" xfId="0" applyNumberFormat="1" applyFont="1" applyFill="1" applyBorder="1" applyAlignment="1">
      <alignment horizontal="center" vertical="center" wrapText="1"/>
    </xf>
    <xf numFmtId="165" fontId="10" fillId="4" borderId="3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7" fillId="0" borderId="0" xfId="0" applyFont="1"/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4" fillId="0" borderId="0" xfId="0" applyFont="1"/>
    <xf numFmtId="0" fontId="5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14" fillId="0" borderId="0" xfId="0" applyFont="1"/>
    <xf numFmtId="0" fontId="15" fillId="2" borderId="1" xfId="0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/>
    </xf>
    <xf numFmtId="0" fontId="16" fillId="0" borderId="1" xfId="0" applyFont="1" applyBorder="1"/>
    <xf numFmtId="165" fontId="16" fillId="0" borderId="1" xfId="0" applyNumberFormat="1" applyFont="1" applyBorder="1"/>
    <xf numFmtId="3" fontId="16" fillId="0" borderId="1" xfId="0" applyNumberFormat="1" applyFont="1" applyBorder="1"/>
    <xf numFmtId="169" fontId="16" fillId="0" borderId="1" xfId="0" applyNumberFormat="1" applyFont="1" applyBorder="1"/>
    <xf numFmtId="170" fontId="16" fillId="0" borderId="1" xfId="0" applyNumberFormat="1" applyFont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1" xfId="0" applyFont="1" applyBorder="1"/>
    <xf numFmtId="165" fontId="28" fillId="0" borderId="1" xfId="0" applyNumberFormat="1" applyFont="1" applyBorder="1" applyAlignment="1">
      <alignment horizontal="left"/>
    </xf>
    <xf numFmtId="3" fontId="28" fillId="0" borderId="1" xfId="0" applyNumberFormat="1" applyFont="1" applyBorder="1" applyAlignment="1">
      <alignment horizontal="left"/>
    </xf>
    <xf numFmtId="166" fontId="28" fillId="0" borderId="1" xfId="0" applyNumberFormat="1" applyFont="1" applyBorder="1" applyAlignment="1">
      <alignment horizontal="left"/>
    </xf>
    <xf numFmtId="0" fontId="28" fillId="7" borderId="1" xfId="0" applyFont="1" applyFill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166" fontId="16" fillId="0" borderId="1" xfId="0" applyNumberFormat="1" applyFont="1" applyBorder="1"/>
    <xf numFmtId="0" fontId="28" fillId="7" borderId="1" xfId="0" applyFont="1" applyFill="1" applyBorder="1"/>
    <xf numFmtId="165" fontId="28" fillId="7" borderId="1" xfId="0" applyNumberFormat="1" applyFont="1" applyFill="1" applyBorder="1"/>
    <xf numFmtId="3" fontId="28" fillId="7" borderId="1" xfId="0" applyNumberFormat="1" applyFont="1" applyFill="1" applyBorder="1"/>
    <xf numFmtId="166" fontId="28" fillId="7" borderId="1" xfId="0" applyNumberFormat="1" applyFont="1" applyFill="1" applyBorder="1"/>
    <xf numFmtId="169" fontId="28" fillId="7" borderId="1" xfId="0" applyNumberFormat="1" applyFont="1" applyFill="1" applyBorder="1"/>
    <xf numFmtId="0" fontId="16" fillId="7" borderId="1" xfId="0" applyFont="1" applyFill="1" applyBorder="1"/>
    <xf numFmtId="0" fontId="16" fillId="0" borderId="1" xfId="0" applyFont="1" applyBorder="1" applyAlignment="1">
      <alignment horizontal="center"/>
    </xf>
    <xf numFmtId="164" fontId="16" fillId="0" borderId="1" xfId="0" applyNumberFormat="1" applyFont="1" applyBorder="1"/>
    <xf numFmtId="168" fontId="16" fillId="0" borderId="1" xfId="0" applyNumberFormat="1" applyFont="1" applyBorder="1" applyAlignment="1">
      <alignment horizontal="center"/>
    </xf>
    <xf numFmtId="0" fontId="28" fillId="0" borderId="0" xfId="0" applyFont="1"/>
    <xf numFmtId="9" fontId="29" fillId="3" borderId="0" xfId="0" applyNumberFormat="1" applyFont="1" applyFill="1"/>
    <xf numFmtId="3" fontId="16" fillId="0" borderId="0" xfId="0" applyNumberFormat="1" applyFont="1"/>
    <xf numFmtId="165" fontId="16" fillId="0" borderId="0" xfId="0" applyNumberFormat="1" applyFont="1"/>
    <xf numFmtId="169" fontId="16" fillId="0" borderId="0" xfId="0" applyNumberFormat="1" applyFont="1"/>
    <xf numFmtId="164" fontId="16" fillId="0" borderId="0" xfId="0" applyNumberFormat="1" applyFont="1"/>
    <xf numFmtId="0" fontId="30" fillId="0" borderId="0" xfId="0" applyFont="1"/>
    <xf numFmtId="0" fontId="16" fillId="0" borderId="0" xfId="0" applyFont="1"/>
    <xf numFmtId="164" fontId="16" fillId="0" borderId="1" xfId="0" applyNumberFormat="1" applyFont="1" applyBorder="1" applyAlignment="1">
      <alignment horizontal="right"/>
    </xf>
    <xf numFmtId="0" fontId="31" fillId="0" borderId="1" xfId="0" applyFont="1" applyBorder="1"/>
    <xf numFmtId="171" fontId="16" fillId="0" borderId="1" xfId="0" applyNumberFormat="1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3" fontId="16" fillId="0" borderId="1" xfId="0" applyNumberFormat="1" applyFont="1" applyBorder="1" applyAlignment="1">
      <alignment horizontal="right"/>
    </xf>
    <xf numFmtId="1" fontId="16" fillId="0" borderId="1" xfId="0" applyNumberFormat="1" applyFont="1" applyBorder="1" applyAlignment="1">
      <alignment horizontal="right"/>
    </xf>
    <xf numFmtId="0" fontId="29" fillId="0" borderId="1" xfId="0" applyFont="1" applyBorder="1"/>
    <xf numFmtId="171" fontId="16" fillId="0" borderId="1" xfId="0" applyNumberFormat="1" applyFont="1" applyBorder="1" applyAlignment="1">
      <alignment horizontal="center"/>
    </xf>
    <xf numFmtId="0" fontId="29" fillId="3" borderId="1" xfId="0" applyFont="1" applyFill="1" applyBorder="1"/>
    <xf numFmtId="0" fontId="29" fillId="3" borderId="0" xfId="0" applyFont="1" applyFill="1"/>
    <xf numFmtId="165" fontId="28" fillId="0" borderId="0" xfId="0" applyNumberFormat="1" applyFont="1"/>
    <xf numFmtId="165" fontId="29" fillId="3" borderId="0" xfId="0" applyNumberFormat="1" applyFont="1" applyFill="1"/>
    <xf numFmtId="3" fontId="28" fillId="0" borderId="0" xfId="0" applyNumberFormat="1" applyFont="1"/>
    <xf numFmtId="9" fontId="29" fillId="3" borderId="1" xfId="0" applyNumberFormat="1" applyFont="1" applyFill="1" applyBorder="1"/>
    <xf numFmtId="169" fontId="29" fillId="3" borderId="1" xfId="0" applyNumberFormat="1" applyFont="1" applyFill="1" applyBorder="1"/>
    <xf numFmtId="169" fontId="16" fillId="7" borderId="1" xfId="0" applyNumberFormat="1" applyFont="1" applyFill="1" applyBorder="1"/>
    <xf numFmtId="0" fontId="6" fillId="3" borderId="0" xfId="0" applyFont="1" applyFill="1"/>
    <xf numFmtId="172" fontId="16" fillId="0" borderId="1" xfId="0" applyNumberFormat="1" applyFont="1" applyBorder="1"/>
    <xf numFmtId="169" fontId="29" fillId="0" borderId="1" xfId="0" applyNumberFormat="1" applyFont="1" applyBorder="1"/>
    <xf numFmtId="173" fontId="29" fillId="3" borderId="1" xfId="0" applyNumberFormat="1" applyFont="1" applyFill="1" applyBorder="1"/>
    <xf numFmtId="174" fontId="16" fillId="0" borderId="1" xfId="0" applyNumberFormat="1" applyFont="1" applyBorder="1"/>
    <xf numFmtId="173" fontId="16" fillId="0" borderId="1" xfId="0" applyNumberFormat="1" applyFont="1" applyBorder="1"/>
    <xf numFmtId="175" fontId="16" fillId="0" borderId="1" xfId="0" applyNumberFormat="1" applyFont="1" applyBorder="1"/>
    <xf numFmtId="4" fontId="16" fillId="0" borderId="1" xfId="0" applyNumberFormat="1" applyFont="1" applyBorder="1"/>
    <xf numFmtId="1" fontId="16" fillId="0" borderId="1" xfId="0" applyNumberFormat="1" applyFont="1" applyBorder="1"/>
    <xf numFmtId="2" fontId="16" fillId="0" borderId="1" xfId="0" applyNumberFormat="1" applyFont="1" applyBorder="1"/>
    <xf numFmtId="176" fontId="16" fillId="0" borderId="1" xfId="0" applyNumberFormat="1" applyFont="1" applyBorder="1"/>
    <xf numFmtId="177" fontId="16" fillId="0" borderId="1" xfId="0" applyNumberFormat="1" applyFont="1" applyBorder="1"/>
    <xf numFmtId="0" fontId="5" fillId="0" borderId="0" xfId="0" applyFont="1"/>
    <xf numFmtId="0" fontId="32" fillId="0" borderId="0" xfId="0" applyFont="1"/>
    <xf numFmtId="0" fontId="33" fillId="0" borderId="0" xfId="0" applyFont="1"/>
    <xf numFmtId="0" fontId="24" fillId="0" borderId="0" xfId="0" applyFont="1"/>
    <xf numFmtId="0" fontId="23" fillId="0" borderId="0" xfId="0" applyFont="1"/>
    <xf numFmtId="0" fontId="34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5" fontId="0" fillId="0" borderId="9" xfId="0" applyNumberFormat="1" applyBorder="1"/>
    <xf numFmtId="1" fontId="0" fillId="0" borderId="9" xfId="0" applyNumberFormat="1" applyBorder="1"/>
    <xf numFmtId="169" fontId="0" fillId="0" borderId="9" xfId="0" applyNumberFormat="1" applyBorder="1"/>
    <xf numFmtId="1" fontId="0" fillId="0" borderId="9" xfId="0" applyNumberFormat="1" applyBorder="1" applyAlignment="1">
      <alignment horizontal="center"/>
    </xf>
    <xf numFmtId="0" fontId="0" fillId="0" borderId="9" xfId="0" applyBorder="1"/>
    <xf numFmtId="0" fontId="34" fillId="2" borderId="9" xfId="0" applyFont="1" applyFill="1" applyBorder="1" applyAlignment="1">
      <alignment horizontal="center"/>
    </xf>
    <xf numFmtId="1" fontId="35" fillId="0" borderId="9" xfId="0" applyNumberFormat="1" applyFont="1" applyBorder="1" applyAlignment="1">
      <alignment horizontal="center"/>
    </xf>
    <xf numFmtId="165" fontId="35" fillId="0" borderId="9" xfId="0" applyNumberFormat="1" applyFont="1" applyBorder="1"/>
    <xf numFmtId="0" fontId="36" fillId="0" borderId="9" xfId="0" applyFont="1" applyBorder="1"/>
    <xf numFmtId="1" fontId="36" fillId="0" borderId="9" xfId="0" applyNumberFormat="1" applyFont="1" applyBorder="1"/>
    <xf numFmtId="169" fontId="36" fillId="0" borderId="9" xfId="0" applyNumberFormat="1" applyFont="1" applyBorder="1"/>
    <xf numFmtId="0" fontId="15" fillId="8" borderId="1" xfId="0" applyFont="1" applyFill="1" applyBorder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  <xf numFmtId="170" fontId="37" fillId="0" borderId="0" xfId="0" applyNumberFormat="1" applyFont="1"/>
    <xf numFmtId="0" fontId="37" fillId="0" borderId="0" xfId="0" applyFont="1"/>
    <xf numFmtId="0" fontId="17" fillId="2" borderId="0" xfId="0" applyFont="1" applyFill="1" applyAlignment="1">
      <alignment vertical="center" indent="1"/>
    </xf>
    <xf numFmtId="0" fontId="18" fillId="2" borderId="0" xfId="0" applyFont="1" applyFill="1" applyAlignment="1">
      <alignment indent="1"/>
    </xf>
    <xf numFmtId="0" fontId="19" fillId="2" borderId="0" xfId="0" applyFont="1" applyFill="1" applyAlignment="1">
      <alignment horizontal="right"/>
    </xf>
    <xf numFmtId="0" fontId="20" fillId="5" borderId="5" xfId="0" applyFont="1" applyFill="1" applyBorder="1" applyAlignment="1">
      <alignment horizontal="center" vertical="center"/>
    </xf>
    <xf numFmtId="165" fontId="21" fillId="5" borderId="6" xfId="0" applyNumberFormat="1" applyFont="1" applyFill="1" applyBorder="1" applyAlignment="1">
      <alignment horizontal="center" vertical="center"/>
    </xf>
    <xf numFmtId="166" fontId="21" fillId="5" borderId="6" xfId="0" applyNumberFormat="1" applyFont="1" applyFill="1" applyBorder="1" applyAlignment="1">
      <alignment horizontal="center" vertical="center"/>
    </xf>
    <xf numFmtId="3" fontId="21" fillId="5" borderId="6" xfId="0" applyNumberFormat="1" applyFont="1" applyFill="1" applyBorder="1" applyAlignment="1">
      <alignment horizontal="center" vertical="center"/>
    </xf>
    <xf numFmtId="169" fontId="21" fillId="5" borderId="6" xfId="0" applyNumberFormat="1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vertical="center" indent="1"/>
    </xf>
    <xf numFmtId="0" fontId="24" fillId="0" borderId="0" xfId="0" applyFont="1" applyAlignment="1">
      <alignment vertical="top" wrapText="1"/>
    </xf>
    <xf numFmtId="0" fontId="16" fillId="0" borderId="0" xfId="0" applyFont="1" applyAlignment="1">
      <alignment vertical="center" wrapText="1"/>
    </xf>
  </cellXfs>
  <cellStyles count="1">
    <cellStyle name="Normal" xfId="0" builtinId="0"/>
  </cellStyles>
  <dxfs count="5"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55A11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</dxf>
    <dxf>
      <font>
        <i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6100"/>
      <rgbColor rgb="FF000080"/>
      <rgbColor rgb="FF808000"/>
      <rgbColor rgb="FF800080"/>
      <rgbColor rgb="FF4F81BD"/>
      <rgbColor rgb="FFBFBFBF"/>
      <rgbColor rgb="FF7F7F7F"/>
      <rgbColor rgb="FFA5A5A5"/>
      <rgbColor rgb="FF993366"/>
      <rgbColor rgb="FFF7F9F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C6EFCE"/>
      <rgbColor rgb="FFFFFF99"/>
      <rgbColor rgb="FF9DC3E6"/>
      <rgbColor rgb="FFE7E6E6"/>
      <rgbColor rgb="FFA6A6A6"/>
      <rgbColor rgb="FFFCE4D6"/>
      <rgbColor rgb="FF2E75B6"/>
      <rgbColor rgb="FF33CCCC"/>
      <rgbColor rgb="FF70AD47"/>
      <rgbColor rgb="FFFFC000"/>
      <rgbColor rgb="FFFF9900"/>
      <rgbColor rgb="FFED7D31"/>
      <rgbColor rgb="FF7F6A9E"/>
      <rgbColor rgb="FF878787"/>
      <rgbColor rgb="FF1F3864"/>
      <rgbColor rgb="FF2A9D8F"/>
      <rgbColor rgb="FF003300"/>
      <rgbColor rgb="FF333300"/>
      <rgbColor rgb="FFC55A11"/>
      <rgbColor rgb="FF993366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Dashboard!$B$65:$B$69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Dashboard!$C$65:$C$69</c:f>
              <c:numCache>
                <c:formatCode>\$#,##0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7-44C2-B544-67F42931B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6640370"/>
        <c:axId val="94255500"/>
      </c:barChart>
      <c:catAx>
        <c:axId val="566403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94255500"/>
        <c:crosses val="autoZero"/>
        <c:auto val="1"/>
        <c:lblAlgn val="ctr"/>
        <c:lblOffset val="100"/>
        <c:noMultiLvlLbl val="0"/>
      </c:catAx>
      <c:valAx>
        <c:axId val="9425550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6640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Dashboard!$F$65:$F$77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Dashboard!$G$65:$G$77</c:f>
              <c:numCache>
                <c:formatCode>\$#,##0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C-4422-B7EF-2CAB8063A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9936912"/>
        <c:axId val="65756136"/>
      </c:lineChart>
      <c:catAx>
        <c:axId val="59936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65756136"/>
        <c:crosses val="autoZero"/>
        <c:auto val="1"/>
        <c:lblAlgn val="ctr"/>
        <c:lblOffset val="100"/>
        <c:noMultiLvlLbl val="0"/>
      </c:catAx>
      <c:valAx>
        <c:axId val="65756136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99369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5B6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19F-43BC-8396-45FB52D65FA6}"/>
              </c:ext>
            </c:extLst>
          </c:dPt>
          <c:dPt>
            <c:idx val="1"/>
            <c:bubble3D val="0"/>
            <c:spPr>
              <a:solidFill>
                <a:srgbClr val="C55A1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19F-43BC-8396-45FB52D65FA6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19F-43BC-8396-45FB52D65FA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19F-43BC-8396-45FB52D65FA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19F-43BC-8396-45FB52D65FA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19F-43BC-8396-45FB52D65F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Dashboard!$I$65:$I$67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Dashboard!$J$65:$J$67</c:f>
              <c:numCache>
                <c:formatCode>\$#,##0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9F-43BC-8396-45FB52D65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Dashboard!$L$65:$L$74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Coffee Maker</c:v>
                </c:pt>
                <c:pt idx="4">
                  <c:v>Blender</c:v>
                </c:pt>
                <c:pt idx="5">
                  <c:v>Office Chair</c:v>
                </c:pt>
                <c:pt idx="6">
                  <c:v>Desk</c:v>
                </c:pt>
                <c:pt idx="7">
                  <c:v>Bookshelf</c:v>
                </c:pt>
                <c:pt idx="8">
                  <c:v>Monitor</c:v>
                </c:pt>
                <c:pt idx="9">
                  <c:v>Keyboard</c:v>
                </c:pt>
              </c:strCache>
            </c:strRef>
          </c:cat>
          <c:val>
            <c:numRef>
              <c:f>Dashboard!$M$65:$M$74</c:f>
              <c:numCache>
                <c:formatCode>\$#,##0</c:formatCode>
                <c:ptCount val="10"/>
                <c:pt idx="0">
                  <c:v>67499.25</c:v>
                </c:pt>
                <c:pt idx="1">
                  <c:v>67199.039999999994</c:v>
                </c:pt>
                <c:pt idx="2">
                  <c:v>7049.5299999999988</c:v>
                </c:pt>
                <c:pt idx="3">
                  <c:v>3119.6099999999992</c:v>
                </c:pt>
                <c:pt idx="4">
                  <c:v>5219.1299999999974</c:v>
                </c:pt>
                <c:pt idx="5">
                  <c:v>10399.479999999998</c:v>
                </c:pt>
                <c:pt idx="6">
                  <c:v>23399.22</c:v>
                </c:pt>
                <c:pt idx="7">
                  <c:v>15298.979999999994</c:v>
                </c:pt>
                <c:pt idx="8">
                  <c:v>21999.119999999999</c:v>
                </c:pt>
                <c:pt idx="9">
                  <c:v>8009.1099999999969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4-4D3C-BABA-3069A2CC3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588671"/>
        <c:axId val="32591579"/>
      </c:barChart>
      <c:catAx>
        <c:axId val="1158867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32591579"/>
        <c:crosses val="autoZero"/>
        <c:auto val="1"/>
        <c:lblAlgn val="ctr"/>
        <c:lblOffset val="100"/>
        <c:noMultiLvlLbl val="0"/>
      </c:catAx>
      <c:valAx>
        <c:axId val="32591579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15886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Monthly Revenue &amp;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($)</c:v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Data'!$A$5:$A$17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'Chart Data'!$B$5:$B$17</c:f>
              <c:numCache>
                <c:formatCode>\$#,##0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B-4618-B656-A93FF12CB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338644"/>
        <c:axId val="45173169"/>
      </c:barChart>
      <c:lineChart>
        <c:grouping val="standard"/>
        <c:varyColors val="0"/>
        <c:ser>
          <c:idx val="1"/>
          <c:order val="1"/>
          <c:tx>
            <c:v>Orders (right axis)</c:v>
          </c:tx>
          <c:spPr>
            <a:ln w="2844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Data'!$A$5:$A$17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'Chart Data'!$C$5:$C$17</c:f>
              <c:numCache>
                <c:formatCode>0</c:formatCode>
                <c:ptCount val="13"/>
                <c:pt idx="0">
                  <c:v>21</c:v>
                </c:pt>
                <c:pt idx="1">
                  <c:v>19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19</c:v>
                </c:pt>
                <c:pt idx="6">
                  <c:v>16</c:v>
                </c:pt>
                <c:pt idx="7">
                  <c:v>17</c:v>
                </c:pt>
                <c:pt idx="8">
                  <c:v>25</c:v>
                </c:pt>
                <c:pt idx="9">
                  <c:v>26</c:v>
                </c:pt>
                <c:pt idx="10">
                  <c:v>20</c:v>
                </c:pt>
                <c:pt idx="11">
                  <c:v>19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B-4618-B656-A93FF12CB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022336"/>
        <c:axId val="45613099"/>
      </c:lineChart>
      <c:catAx>
        <c:axId val="163386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45173169"/>
        <c:crosses val="autoZero"/>
        <c:auto val="1"/>
        <c:lblAlgn val="ctr"/>
        <c:lblOffset val="100"/>
        <c:noMultiLvlLbl val="0"/>
      </c:catAx>
      <c:valAx>
        <c:axId val="45173169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solidFill>
                      <a:srgbClr val="7F7F7F"/>
                    </a:solidFill>
                    <a:latin typeface="Arial"/>
                  </a:defRPr>
                </a:pPr>
                <a:r>
                  <a:rPr lang="en-IN" sz="900" b="0" strike="noStrike" spc="-1">
                    <a:solidFill>
                      <a:srgbClr val="7F7F7F"/>
                    </a:solidFill>
                    <a:latin typeface="Arial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6338644"/>
        <c:crosses val="autoZero"/>
        <c:crossBetween val="between"/>
      </c:valAx>
      <c:catAx>
        <c:axId val="2102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45613099"/>
        <c:crosses val="autoZero"/>
        <c:auto val="1"/>
        <c:lblAlgn val="ctr"/>
        <c:lblOffset val="100"/>
        <c:noMultiLvlLbl val="0"/>
      </c:catAx>
      <c:valAx>
        <c:axId val="45613099"/>
        <c:scaling>
          <c:orientation val="minMax"/>
        </c:scaling>
        <c:delete val="0"/>
        <c:axPos val="r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102233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Cumulative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'Chart Data'!$D$4</c:f>
              <c:strCache>
                <c:ptCount val="1"/>
                <c:pt idx="0">
                  <c:v>Cumulative Revenue</c:v>
                </c:pt>
              </c:strCache>
            </c:strRef>
          </c:tx>
          <c:spPr>
            <a:solidFill>
              <a:srgbClr val="9DC3E6"/>
            </a:solidFill>
            <a:ln w="28440">
              <a:solidFill>
                <a:srgbClr val="2E75B6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Data'!$A$5:$A$17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'Chart Data'!$D$5:$D$17</c:f>
              <c:numCache>
                <c:formatCode>\$#,##0</c:formatCode>
                <c:ptCount val="13"/>
                <c:pt idx="0">
                  <c:v>20919.330000000002</c:v>
                </c:pt>
                <c:pt idx="1">
                  <c:v>37958.68</c:v>
                </c:pt>
                <c:pt idx="2">
                  <c:v>57258.130000000005</c:v>
                </c:pt>
                <c:pt idx="3">
                  <c:v>75737.53</c:v>
                </c:pt>
                <c:pt idx="4">
                  <c:v>91496.959999999992</c:v>
                </c:pt>
                <c:pt idx="5">
                  <c:v>104486.46999999999</c:v>
                </c:pt>
                <c:pt idx="6">
                  <c:v>125095.98999999999</c:v>
                </c:pt>
                <c:pt idx="7">
                  <c:v>137405.43</c:v>
                </c:pt>
                <c:pt idx="8">
                  <c:v>160444.72999999998</c:v>
                </c:pt>
                <c:pt idx="9">
                  <c:v>186243.87999999998</c:v>
                </c:pt>
                <c:pt idx="10">
                  <c:v>202313.25999999998</c:v>
                </c:pt>
                <c:pt idx="11">
                  <c:v>222212.63999999998</c:v>
                </c:pt>
                <c:pt idx="12">
                  <c:v>229192.46999999997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C-49DF-8A98-9A5E0BFAD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4896"/>
        <c:axId val="90302008"/>
      </c:areaChart>
      <c:catAx>
        <c:axId val="1620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90302008"/>
        <c:crosses val="autoZero"/>
        <c:auto val="1"/>
        <c:lblAlgn val="ctr"/>
        <c:lblOffset val="100"/>
        <c:noMultiLvlLbl val="0"/>
      </c:catAx>
      <c:valAx>
        <c:axId val="90302008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620489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Month-over-Month Revenue Growth (full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Data'!$E$4</c:f>
              <c:strCache>
                <c:ptCount val="1"/>
                <c:pt idx="0">
                  <c:v>MoM Growth (full months)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Data'!$A$5:$A$17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'Chart Data'!$E$5:$E$17</c:f>
              <c:numCache>
                <c:formatCode>0.0%</c:formatCode>
                <c:ptCount val="13"/>
                <c:pt idx="1">
                  <c:v>0</c:v>
                </c:pt>
                <c:pt idx="2">
                  <c:v>0.13264003615161379</c:v>
                </c:pt>
                <c:pt idx="3">
                  <c:v>-4.2490848184793206E-2</c:v>
                </c:pt>
                <c:pt idx="4">
                  <c:v>-0.14718930268298747</c:v>
                </c:pt>
                <c:pt idx="5">
                  <c:v>-0.17576270207742284</c:v>
                </c:pt>
                <c:pt idx="6">
                  <c:v>0.58662797903847075</c:v>
                </c:pt>
                <c:pt idx="7">
                  <c:v>-0.40273038867474842</c:v>
                </c:pt>
                <c:pt idx="8">
                  <c:v>0.87167734681675224</c:v>
                </c:pt>
                <c:pt idx="9">
                  <c:v>0.11978879566653511</c:v>
                </c:pt>
                <c:pt idx="10">
                  <c:v>-0.37713529321702477</c:v>
                </c:pt>
                <c:pt idx="11">
                  <c:v>0.23834149170658736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F-469E-A7AD-528AA5BC1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6177750"/>
        <c:axId val="92023262"/>
      </c:barChart>
      <c:catAx>
        <c:axId val="661777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92023262"/>
        <c:crosses val="autoZero"/>
        <c:auto val="1"/>
        <c:lblAlgn val="ctr"/>
        <c:lblOffset val="100"/>
        <c:noMultiLvlLbl val="0"/>
      </c:catAx>
      <c:valAx>
        <c:axId val="92023262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661777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Daily Revenue Run-Rate (normalises partial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Data'!$F$4</c:f>
              <c:strCache>
                <c:ptCount val="1"/>
                <c:pt idx="0">
                  <c:v>Daily Run-Rate</c:v>
                </c:pt>
              </c:strCache>
            </c:strRef>
          </c:tx>
          <c:spPr>
            <a:ln w="28440">
              <a:solidFill>
                <a:srgbClr val="2A9D8F"/>
              </a:solidFill>
              <a:round/>
            </a:ln>
          </c:spPr>
          <c:marker>
            <c:symbol val="circle"/>
            <c:size val="6"/>
            <c:spPr>
              <a:solidFill>
                <a:srgbClr val="2A9D8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Data'!$A$5:$A$17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'Chart Data'!$F$5:$F$17</c:f>
              <c:numCache>
                <c:formatCode>\$#,##0</c:formatCode>
                <c:ptCount val="13"/>
                <c:pt idx="0">
                  <c:v>1045.9665</c:v>
                </c:pt>
                <c:pt idx="1">
                  <c:v>549.6564516129032</c:v>
                </c:pt>
                <c:pt idx="2">
                  <c:v>643.31500000000005</c:v>
                </c:pt>
                <c:pt idx="3">
                  <c:v>596.10967741935463</c:v>
                </c:pt>
                <c:pt idx="4">
                  <c:v>508.36870967741925</c:v>
                </c:pt>
                <c:pt idx="5">
                  <c:v>432.98366666666658</c:v>
                </c:pt>
                <c:pt idx="6">
                  <c:v>664.82322580645166</c:v>
                </c:pt>
                <c:pt idx="7">
                  <c:v>410.3146666666666</c:v>
                </c:pt>
                <c:pt idx="8">
                  <c:v>743.20322580645154</c:v>
                </c:pt>
                <c:pt idx="9">
                  <c:v>832.23064516129034</c:v>
                </c:pt>
                <c:pt idx="10">
                  <c:v>573.90642857142848</c:v>
                </c:pt>
                <c:pt idx="11">
                  <c:v>641.91548387096771</c:v>
                </c:pt>
                <c:pt idx="12">
                  <c:v>634.52999999999986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B-4EC5-BB37-6CAAC7F9D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5590233"/>
        <c:axId val="72800242"/>
      </c:lineChart>
      <c:catAx>
        <c:axId val="355902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72800242"/>
        <c:crosses val="autoZero"/>
        <c:auto val="1"/>
        <c:lblAlgn val="ctr"/>
        <c:lblOffset val="100"/>
        <c:noMultiLvlLbl val="0"/>
      </c:catAx>
      <c:valAx>
        <c:axId val="72800242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355902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by Product (ranked)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Data'!$C$21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Data'!$B$22:$B$31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Bookshelf</c:v>
                </c:pt>
                <c:pt idx="5">
                  <c:v>Office Chair</c:v>
                </c:pt>
                <c:pt idx="6">
                  <c:v>Keyboard</c:v>
                </c:pt>
                <c:pt idx="7">
                  <c:v>Headphones</c:v>
                </c:pt>
                <c:pt idx="8">
                  <c:v>Blender</c:v>
                </c:pt>
                <c:pt idx="9">
                  <c:v>Coffee Maker</c:v>
                </c:pt>
              </c:strCache>
            </c:strRef>
          </c:cat>
          <c:val>
            <c:numRef>
              <c:f>'Chart Data'!$C$22:$C$31</c:f>
              <c:numCache>
                <c:formatCode>\$#,##0</c:formatCode>
                <c:ptCount val="10"/>
                <c:pt idx="0">
                  <c:v>67499.25</c:v>
                </c:pt>
                <c:pt idx="1">
                  <c:v>67199.039999999994</c:v>
                </c:pt>
                <c:pt idx="2">
                  <c:v>23399.22</c:v>
                </c:pt>
                <c:pt idx="3">
                  <c:v>21999.119999999999</c:v>
                </c:pt>
                <c:pt idx="4">
                  <c:v>15298.979999999994</c:v>
                </c:pt>
                <c:pt idx="5">
                  <c:v>10399.479999999998</c:v>
                </c:pt>
                <c:pt idx="6">
                  <c:v>8009.1099999999969</c:v>
                </c:pt>
                <c:pt idx="7">
                  <c:v>7049.5299999999988</c:v>
                </c:pt>
                <c:pt idx="8">
                  <c:v>5219.1299999999974</c:v>
                </c:pt>
                <c:pt idx="9">
                  <c:v>3119.6099999999992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2-4461-8B7B-526FF7493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7463601"/>
        <c:axId val="70330040"/>
      </c:barChart>
      <c:catAx>
        <c:axId val="974636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70330040"/>
        <c:crosses val="autoZero"/>
        <c:auto val="1"/>
        <c:lblAlgn val="ctr"/>
        <c:lblOffset val="100"/>
        <c:noMultiLvlLbl val="0"/>
      </c:catAx>
      <c:valAx>
        <c:axId val="70330040"/>
        <c:scaling>
          <c:orientation val="minMax"/>
        </c:scaling>
        <c:delete val="0"/>
        <c:axPos val="b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9746360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Units Sold by Product (same ranking)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Data'!$D$21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Data'!$B$22:$B$31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Bookshelf</c:v>
                </c:pt>
                <c:pt idx="5">
                  <c:v>Office Chair</c:v>
                </c:pt>
                <c:pt idx="6">
                  <c:v>Keyboard</c:v>
                </c:pt>
                <c:pt idx="7">
                  <c:v>Headphones</c:v>
                </c:pt>
                <c:pt idx="8">
                  <c:v>Blender</c:v>
                </c:pt>
                <c:pt idx="9">
                  <c:v>Coffee Maker</c:v>
                </c:pt>
              </c:strCache>
            </c:strRef>
          </c:cat>
          <c:val>
            <c:numRef>
              <c:f>'Chart Data'!$D$22:$D$31</c:f>
              <c:numCache>
                <c:formatCode>0</c:formatCode>
                <c:ptCount val="10"/>
                <c:pt idx="0">
                  <c:v>75</c:v>
                </c:pt>
                <c:pt idx="1">
                  <c:v>96</c:v>
                </c:pt>
                <c:pt idx="2">
                  <c:v>78</c:v>
                </c:pt>
                <c:pt idx="3">
                  <c:v>88</c:v>
                </c:pt>
                <c:pt idx="4">
                  <c:v>102</c:v>
                </c:pt>
                <c:pt idx="5">
                  <c:v>52</c:v>
                </c:pt>
                <c:pt idx="6">
                  <c:v>89</c:v>
                </c:pt>
                <c:pt idx="7">
                  <c:v>47</c:v>
                </c:pt>
                <c:pt idx="8">
                  <c:v>87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1-469F-8438-C30C2989D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7063680"/>
        <c:axId val="70921408"/>
      </c:barChart>
      <c:catAx>
        <c:axId val="5706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70921408"/>
        <c:crosses val="autoZero"/>
        <c:auto val="1"/>
        <c:lblAlgn val="ctr"/>
        <c:lblOffset val="100"/>
        <c:noMultiLvlLbl val="0"/>
      </c:catAx>
      <c:valAx>
        <c:axId val="70921408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70636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'Sales Analysis'!$B$14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5B6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693-4C7F-A66B-6D67457B57C4}"/>
              </c:ext>
            </c:extLst>
          </c:dPt>
          <c:dPt>
            <c:idx val="1"/>
            <c:bubble3D val="0"/>
            <c:spPr>
              <a:solidFill>
                <a:srgbClr val="C55A1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693-4C7F-A66B-6D67457B57C4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A693-4C7F-A66B-6D67457B57C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693-4C7F-A66B-6D67457B57C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693-4C7F-A66B-6D67457B57C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693-4C7F-A66B-6D67457B57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'Sales Analysis'!$A$15:$A$17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'Sales Analysis'!$B$15:$B$17</c:f>
              <c:numCache>
                <c:formatCode>\$#,##0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93-4C7F-A66B-6D67457B5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by Region &amp;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Data'!$B$34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Data'!$A$35:$A$39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 Data'!$B$35:$B$39</c:f>
              <c:numCache>
                <c:formatCode>\$#,##0</c:formatCode>
                <c:ptCount val="5"/>
                <c:pt idx="0">
                  <c:v>1999.71</c:v>
                </c:pt>
                <c:pt idx="1">
                  <c:v>2239.67</c:v>
                </c:pt>
                <c:pt idx="2">
                  <c:v>1119.8399999999999</c:v>
                </c:pt>
                <c:pt idx="3">
                  <c:v>1099.83</c:v>
                </c:pt>
                <c:pt idx="4">
                  <c:v>1879.69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5-4202-8798-25C1C067C00E}"/>
            </c:ext>
          </c:extLst>
        </c:ser>
        <c:ser>
          <c:idx val="1"/>
          <c:order val="1"/>
          <c:tx>
            <c:strRef>
              <c:f>'Chart Data'!$C$34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Data'!$A$35:$A$39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 Data'!$C$35:$C$39</c:f>
              <c:numCache>
                <c:formatCode>\$#,##0</c:formatCode>
                <c:ptCount val="5"/>
                <c:pt idx="0">
                  <c:v>24889.329999999998</c:v>
                </c:pt>
                <c:pt idx="1">
                  <c:v>50649.009999999995</c:v>
                </c:pt>
                <c:pt idx="2">
                  <c:v>39239.040000000015</c:v>
                </c:pt>
                <c:pt idx="3">
                  <c:v>25549.32</c:v>
                </c:pt>
                <c:pt idx="4">
                  <c:v>31429.35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35-4202-8798-25C1C067C00E}"/>
            </c:ext>
          </c:extLst>
        </c:ser>
        <c:ser>
          <c:idx val="2"/>
          <c:order val="2"/>
          <c:tx>
            <c:strRef>
              <c:f>'Chart Data'!$D$34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Data'!$A$35:$A$39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 Data'!$D$35:$D$39</c:f>
              <c:numCache>
                <c:formatCode>\$#,##0</c:formatCode>
                <c:ptCount val="5"/>
                <c:pt idx="0">
                  <c:v>14399.300000000001</c:v>
                </c:pt>
                <c:pt idx="1">
                  <c:v>6399.71</c:v>
                </c:pt>
                <c:pt idx="2">
                  <c:v>10449.429999999997</c:v>
                </c:pt>
                <c:pt idx="3">
                  <c:v>9749.5999999999985</c:v>
                </c:pt>
                <c:pt idx="4">
                  <c:v>8099.6400000000012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35-4202-8798-25C1C067C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64855344"/>
        <c:axId val="69596092"/>
      </c:barChart>
      <c:catAx>
        <c:axId val="6485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69596092"/>
        <c:crosses val="autoZero"/>
        <c:auto val="1"/>
        <c:lblAlgn val="ctr"/>
        <c:lblOffset val="100"/>
        <c:noMultiLvlLbl val="0"/>
      </c:catAx>
      <c:valAx>
        <c:axId val="69596092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648553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&amp; Average Order Value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($)</c:v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Data'!$A$45:$A$49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 Data'!$B$45:$B$49</c:f>
              <c:numCache>
                <c:formatCode>\$#,##0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4-4F1C-97BF-CEB9CDB66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113966"/>
        <c:axId val="36238771"/>
      </c:barChart>
      <c:lineChart>
        <c:grouping val="standard"/>
        <c:varyColors val="0"/>
        <c:ser>
          <c:idx val="1"/>
          <c:order val="1"/>
          <c:tx>
            <c:v>Avg Order Value (right axis)</c:v>
          </c:tx>
          <c:spPr>
            <a:ln w="2844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Data'!$A$45:$A$49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 Data'!$C$45:$C$49</c:f>
              <c:numCache>
                <c:formatCode>\$#,##0</c:formatCode>
                <c:ptCount val="5"/>
                <c:pt idx="0">
                  <c:v>764.59888888888918</c:v>
                </c:pt>
                <c:pt idx="1">
                  <c:v>1235.1747916666666</c:v>
                </c:pt>
                <c:pt idx="2">
                  <c:v>861.15779661016973</c:v>
                </c:pt>
                <c:pt idx="3">
                  <c:v>866.63690476190493</c:v>
                </c:pt>
                <c:pt idx="4">
                  <c:v>881.03574468085139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54-4F1C-97BF-CEB9CDB66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282007"/>
        <c:axId val="20610709"/>
      </c:lineChart>
      <c:catAx>
        <c:axId val="21113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36238771"/>
        <c:crosses val="autoZero"/>
        <c:auto val="1"/>
        <c:lblAlgn val="ctr"/>
        <c:lblOffset val="100"/>
        <c:noMultiLvlLbl val="0"/>
      </c:catAx>
      <c:valAx>
        <c:axId val="36238771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1113966"/>
        <c:crosses val="autoZero"/>
        <c:crossBetween val="between"/>
      </c:valAx>
      <c:catAx>
        <c:axId val="21282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0610709"/>
        <c:crosses val="autoZero"/>
        <c:auto val="1"/>
        <c:lblAlgn val="ctr"/>
        <c:lblOffset val="100"/>
        <c:noMultiLvlLbl val="0"/>
      </c:catAx>
      <c:valAx>
        <c:axId val="20610709"/>
        <c:scaling>
          <c:orientation val="minMax"/>
        </c:scaling>
        <c:delete val="0"/>
        <c:axPos val="r"/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128200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Payment Method Mix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Data'!$B$53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Data'!$A$54:$A$58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 Data'!$B$54:$B$58</c:f>
              <c:numCache>
                <c:formatCode>\$#,##0</c:formatCode>
                <c:ptCount val="5"/>
                <c:pt idx="0">
                  <c:v>13919.47</c:v>
                </c:pt>
                <c:pt idx="1">
                  <c:v>11809.7</c:v>
                </c:pt>
                <c:pt idx="2">
                  <c:v>16839.37</c:v>
                </c:pt>
                <c:pt idx="3">
                  <c:v>5369.7000000000007</c:v>
                </c:pt>
                <c:pt idx="4">
                  <c:v>9489.5499999999975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0-4852-AF34-E8D66556FC1C}"/>
            </c:ext>
          </c:extLst>
        </c:ser>
        <c:ser>
          <c:idx val="1"/>
          <c:order val="1"/>
          <c:tx>
            <c:strRef>
              <c:f>'Chart Data'!$C$53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Data'!$A$54:$A$58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 Data'!$C$54:$C$58</c:f>
              <c:numCache>
                <c:formatCode>\$#,##0</c:formatCode>
                <c:ptCount val="5"/>
                <c:pt idx="0">
                  <c:v>10869.589999999998</c:v>
                </c:pt>
                <c:pt idx="1">
                  <c:v>10099.709999999999</c:v>
                </c:pt>
                <c:pt idx="2">
                  <c:v>16649.440000000002</c:v>
                </c:pt>
                <c:pt idx="3">
                  <c:v>11549.619999999999</c:v>
                </c:pt>
                <c:pt idx="4">
                  <c:v>12279.599999999997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0-4852-AF34-E8D66556FC1C}"/>
            </c:ext>
          </c:extLst>
        </c:ser>
        <c:ser>
          <c:idx val="2"/>
          <c:order val="2"/>
          <c:tx>
            <c:strRef>
              <c:f>'Chart Data'!$D$53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Data'!$A$54:$A$58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 Data'!$D$54:$D$58</c:f>
              <c:numCache>
                <c:formatCode>\$#,##0</c:formatCode>
                <c:ptCount val="5"/>
                <c:pt idx="0">
                  <c:v>8669.6299999999992</c:v>
                </c:pt>
                <c:pt idx="1">
                  <c:v>18159.46</c:v>
                </c:pt>
                <c:pt idx="2">
                  <c:v>6819.72</c:v>
                </c:pt>
                <c:pt idx="3">
                  <c:v>10669.679999999998</c:v>
                </c:pt>
                <c:pt idx="4">
                  <c:v>7799.82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60-4852-AF34-E8D66556FC1C}"/>
            </c:ext>
          </c:extLst>
        </c:ser>
        <c:ser>
          <c:idx val="3"/>
          <c:order val="3"/>
          <c:tx>
            <c:strRef>
              <c:f>'Chart Data'!$E$53</c:f>
              <c:strCache>
                <c:ptCount val="1"/>
                <c:pt idx="0">
                  <c:v>PayPal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FFC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Data'!$A$54:$A$58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 Data'!$E$54:$E$58</c:f>
              <c:numCache>
                <c:formatCode>\$#,##0</c:formatCode>
                <c:ptCount val="5"/>
                <c:pt idx="0">
                  <c:v>7829.6500000000005</c:v>
                </c:pt>
                <c:pt idx="1">
                  <c:v>19219.52</c:v>
                </c:pt>
                <c:pt idx="2">
                  <c:v>10499.779999999999</c:v>
                </c:pt>
                <c:pt idx="3">
                  <c:v>8809.7500000000018</c:v>
                </c:pt>
                <c:pt idx="4">
                  <c:v>11839.71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60-4852-AF34-E8D66556F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358019"/>
        <c:axId val="50949332"/>
      </c:barChart>
      <c:catAx>
        <c:axId val="13580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0949332"/>
        <c:crosses val="autoZero"/>
        <c:auto val="1"/>
        <c:lblAlgn val="ctr"/>
        <c:lblOffset val="100"/>
        <c:noMultiLvlLbl val="0"/>
      </c:catAx>
      <c:valAx>
        <c:axId val="50949332"/>
        <c:scaling>
          <c:orientation val="minMax"/>
        </c:scaling>
        <c:delete val="0"/>
        <c:axPos val="b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35801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Share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'Sales Analysis'!$B$21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5B6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5D3-420A-9608-602C99FCAFBE}"/>
              </c:ext>
            </c:extLst>
          </c:dPt>
          <c:dPt>
            <c:idx val="1"/>
            <c:bubble3D val="0"/>
            <c:spPr>
              <a:solidFill>
                <a:srgbClr val="C55A1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5D3-420A-9608-602C99FCAFBE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A5D3-420A-9608-602C99FCAFB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A5D3-420A-9608-602C99FCAFB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5D3-420A-9608-602C99FCAFB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5D3-420A-9608-602C99FCAFB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5D3-420A-9608-602C99FCAFB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A5D3-420A-9608-602C99FCAF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'Sales Analysis'!$A$22:$A$25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'Sales Analysis'!$B$22:$B$25</c:f>
              <c:numCache>
                <c:formatCode>\$#,##0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D3-420A-9608-602C99FCA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Orders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Data'!$B$62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Data'!$A$63:$A$69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'Chart Data'!$B$63:$B$69</c:f>
              <c:numCache>
                <c:formatCode>0</c:formatCode>
                <c:ptCount val="7"/>
                <c:pt idx="0">
                  <c:v>38</c:v>
                </c:pt>
                <c:pt idx="1">
                  <c:v>33</c:v>
                </c:pt>
                <c:pt idx="2">
                  <c:v>33</c:v>
                </c:pt>
                <c:pt idx="3">
                  <c:v>35</c:v>
                </c:pt>
                <c:pt idx="4">
                  <c:v>35</c:v>
                </c:pt>
                <c:pt idx="5">
                  <c:v>29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2-45F9-A499-F4B039833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52177927"/>
        <c:axId val="66871964"/>
      </c:barChart>
      <c:catAx>
        <c:axId val="52177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66871964"/>
        <c:crosses val="autoZero"/>
        <c:auto val="1"/>
        <c:lblAlgn val="ctr"/>
        <c:lblOffset val="100"/>
        <c:noMultiLvlLbl val="0"/>
      </c:catAx>
      <c:valAx>
        <c:axId val="66871964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21779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Top 10 Customers - Pareto (revenue + cumulative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($)</c:v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Data'!$A$74:$A$83</c:f>
              <c:strCache>
                <c:ptCount val="10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  <c:pt idx="8">
                  <c:v>Lawrence Reed</c:v>
                </c:pt>
                <c:pt idx="9">
                  <c:v>Joseph Jackson</c:v>
                </c:pt>
              </c:strCache>
            </c:strRef>
          </c:cat>
          <c:val>
            <c:numRef>
              <c:f>'Chart Data'!$B$74:$B$83</c:f>
              <c:numCache>
                <c:formatCode>\$#,##0</c:formatCode>
                <c:ptCount val="10"/>
                <c:pt idx="0">
                  <c:v>15659.65</c:v>
                </c:pt>
                <c:pt idx="1">
                  <c:v>11919.769999999999</c:v>
                </c:pt>
                <c:pt idx="2">
                  <c:v>10649.8</c:v>
                </c:pt>
                <c:pt idx="3">
                  <c:v>9799.73</c:v>
                </c:pt>
                <c:pt idx="4">
                  <c:v>8309.739999999998</c:v>
                </c:pt>
                <c:pt idx="5">
                  <c:v>8269.7900000000009</c:v>
                </c:pt>
                <c:pt idx="6">
                  <c:v>8009.7699999999995</c:v>
                </c:pt>
                <c:pt idx="7">
                  <c:v>7309.7999999999993</c:v>
                </c:pt>
                <c:pt idx="8">
                  <c:v>6989.7699999999986</c:v>
                </c:pt>
                <c:pt idx="9">
                  <c:v>6949.84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8-4500-8CA9-E947353D7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7967548"/>
        <c:axId val="88022447"/>
      </c:barChart>
      <c:lineChart>
        <c:grouping val="standard"/>
        <c:varyColors val="0"/>
        <c:ser>
          <c:idx val="1"/>
          <c:order val="1"/>
          <c:tx>
            <c:v>Cumulative % of total (right axis)</c:v>
          </c:tx>
          <c:spPr>
            <a:ln w="2844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Data'!$A$74:$A$83</c:f>
              <c:strCache>
                <c:ptCount val="10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  <c:pt idx="8">
                  <c:v>Lawrence Reed</c:v>
                </c:pt>
                <c:pt idx="9">
                  <c:v>Joseph Jackson</c:v>
                </c:pt>
              </c:strCache>
            </c:strRef>
          </c:cat>
          <c:val>
            <c:numRef>
              <c:f>'Chart Data'!$C$74:$C$83</c:f>
              <c:numCache>
                <c:formatCode>0.0%</c:formatCode>
                <c:ptCount val="10"/>
                <c:pt idx="0">
                  <c:v>6.8325324998679035E-2</c:v>
                </c:pt>
                <c:pt idx="1">
                  <c:v>0.12033301094054263</c:v>
                </c:pt>
                <c:pt idx="2">
                  <c:v>0.16679963351326502</c:v>
                </c:pt>
                <c:pt idx="3">
                  <c:v>0.20955727733987065</c:v>
                </c:pt>
                <c:pt idx="4">
                  <c:v>0.24581387861477288</c:v>
                </c:pt>
                <c:pt idx="5">
                  <c:v>0.281896172243355</c:v>
                </c:pt>
                <c:pt idx="6">
                  <c:v>0.31684396088580036</c:v>
                </c:pt>
                <c:pt idx="7">
                  <c:v>0.3487376788600427</c:v>
                </c:pt>
                <c:pt idx="8">
                  <c:v>0.37923505951133546</c:v>
                </c:pt>
                <c:pt idx="9">
                  <c:v>0.40955821977920986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8-4500-8CA9-E947353D7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195209"/>
        <c:axId val="69088880"/>
      </c:lineChart>
      <c:catAx>
        <c:axId val="279675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 rot="-2700000"/>
          <a:lstStyle/>
          <a:p>
            <a:pPr>
              <a:defRPr sz="8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88022447"/>
        <c:crosses val="autoZero"/>
        <c:auto val="1"/>
        <c:lblAlgn val="ctr"/>
        <c:lblOffset val="100"/>
        <c:noMultiLvlLbl val="0"/>
      </c:catAx>
      <c:valAx>
        <c:axId val="88022447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27967548"/>
        <c:crosses val="autoZero"/>
        <c:crossBetween val="between"/>
      </c:valAx>
      <c:catAx>
        <c:axId val="57195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 rot="-2700000"/>
          <a:lstStyle/>
          <a:p>
            <a:pPr>
              <a:defRPr sz="8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69088880"/>
        <c:crosses val="autoZero"/>
        <c:auto val="1"/>
        <c:lblAlgn val="ctr"/>
        <c:lblOffset val="100"/>
        <c:noMultiLvlLbl val="0"/>
      </c:catAx>
      <c:valAx>
        <c:axId val="6908888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719520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Data'!$B$87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Data'!$A$88:$A$90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'Chart Data'!$B$88:$B$90</c:f>
              <c:numCache>
                <c:formatCode>\$#,##0</c:formatCode>
                <c:ptCount val="3"/>
                <c:pt idx="0">
                  <c:v>62177.810000000019</c:v>
                </c:pt>
                <c:pt idx="1">
                  <c:v>82357.540000000037</c:v>
                </c:pt>
                <c:pt idx="2">
                  <c:v>84657.12000000001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9-463E-9BAC-C57529B5B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3847613"/>
        <c:axId val="59066169"/>
      </c:barChart>
      <c:catAx>
        <c:axId val="138476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9066169"/>
        <c:crosses val="autoZero"/>
        <c:auto val="1"/>
        <c:lblAlgn val="ctr"/>
        <c:lblOffset val="100"/>
        <c:noMultiLvlLbl val="0"/>
      </c:catAx>
      <c:valAx>
        <c:axId val="59066169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38476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Repeat vs One-time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Data'!$B$94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627-47FA-80B0-8AD0F2BF211E}"/>
              </c:ext>
            </c:extLst>
          </c:dPt>
          <c:dPt>
            <c:idx val="1"/>
            <c:bubble3D val="0"/>
            <c:spPr>
              <a:solidFill>
                <a:srgbClr val="A5A5A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627-47FA-80B0-8AD0F2BF211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627-47FA-80B0-8AD0F2BF211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627-47FA-80B0-8AD0F2BF21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Data'!$A$95:$A$96</c:f>
              <c:strCache>
                <c:ptCount val="2"/>
                <c:pt idx="0">
                  <c:v>Repeat (2+ orders)</c:v>
                </c:pt>
                <c:pt idx="1">
                  <c:v>One-time</c:v>
                </c:pt>
              </c:strCache>
            </c:strRef>
          </c:cat>
          <c:val>
            <c:numRef>
              <c:f>'Chart Data'!$B$95:$B$96</c:f>
              <c:numCache>
                <c:formatCode>0</c:formatCode>
                <c:ptCount val="2"/>
                <c:pt idx="0">
                  <c:v>47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27-47FA-80B0-8AD0F2BF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Order Value Distribution (orders per value band)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Data'!$D$100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7F6A9E"/>
            </a:solidFill>
            <a:ln w="0">
              <a:solidFill>
                <a:srgbClr val="7F6A9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Data'!$A$101:$A$106</c:f>
              <c:strCache>
                <c:ptCount val="6"/>
                <c:pt idx="0">
                  <c:v>$0 - $250</c:v>
                </c:pt>
                <c:pt idx="1">
                  <c:v>$250 - $500</c:v>
                </c:pt>
                <c:pt idx="2">
                  <c:v>$500 - $1,000</c:v>
                </c:pt>
                <c:pt idx="3">
                  <c:v>$1,000 - $2,000</c:v>
                </c:pt>
                <c:pt idx="4">
                  <c:v>$2,000 - $3,500</c:v>
                </c:pt>
                <c:pt idx="5">
                  <c:v>$3,500+</c:v>
                </c:pt>
              </c:strCache>
            </c:strRef>
          </c:cat>
          <c:val>
            <c:numRef>
              <c:f>'Chart Data'!$D$101:$D$106</c:f>
              <c:numCache>
                <c:formatCode>0</c:formatCode>
                <c:ptCount val="6"/>
                <c:pt idx="0">
                  <c:v>66</c:v>
                </c:pt>
                <c:pt idx="1">
                  <c:v>60</c:v>
                </c:pt>
                <c:pt idx="2">
                  <c:v>63</c:v>
                </c:pt>
                <c:pt idx="3">
                  <c:v>26</c:v>
                </c:pt>
                <c:pt idx="4">
                  <c:v>25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5-4E8C-9184-07C714D4E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59517137"/>
        <c:axId val="39562628"/>
      </c:barChart>
      <c:catAx>
        <c:axId val="595171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39562628"/>
        <c:crosses val="autoZero"/>
        <c:auto val="1"/>
        <c:lblAlgn val="ctr"/>
        <c:lblOffset val="100"/>
        <c:noMultiLvlLbl val="0"/>
      </c:catAx>
      <c:valAx>
        <c:axId val="39562628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95171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Analysis'!$A$6:$A$10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'Sales Analysis'!$B$6:$B$10</c:f>
              <c:numCache>
                <c:formatCode>\$#,##0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8-4327-B489-B46E4B4BD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5342898"/>
        <c:axId val="49181449"/>
      </c:barChart>
      <c:catAx>
        <c:axId val="553428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49181449"/>
        <c:crosses val="autoZero"/>
        <c:auto val="1"/>
        <c:lblAlgn val="ctr"/>
        <c:lblOffset val="100"/>
        <c:noMultiLvlLbl val="0"/>
      </c:catAx>
      <c:valAx>
        <c:axId val="49181449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5342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'Sales Analysis'!$A$60:$A$72</c:f>
              <c:numCache>
                <c:formatCode>mmm\-yy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'Sales Analysis'!$C$60:$C$72</c:f>
              <c:numCache>
                <c:formatCode>\$#,##0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3-4CF9-8958-F5B74B61D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374415"/>
        <c:axId val="33003965"/>
      </c:lineChart>
      <c:dateAx>
        <c:axId val="9837441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33003965"/>
        <c:crosses val="autoZero"/>
        <c:auto val="1"/>
        <c:lblOffset val="100"/>
        <c:baseTimeUnit val="months"/>
      </c:dateAx>
      <c:valAx>
        <c:axId val="33003965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983744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5B6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C3E-4F64-AC95-54AE8CB551DC}"/>
              </c:ext>
            </c:extLst>
          </c:dPt>
          <c:dPt>
            <c:idx val="1"/>
            <c:bubble3D val="0"/>
            <c:spPr>
              <a:solidFill>
                <a:srgbClr val="C55A1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C3E-4F64-AC95-54AE8CB551DC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C3E-4F64-AC95-54AE8CB551D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C3E-4F64-AC95-54AE8CB551D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C3E-4F64-AC95-54AE8CB551D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C3E-4F64-AC95-54AE8CB551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'Sales Analysis'!$A$15:$A$17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'Sales Analysis'!$B$15:$B$17</c:f>
              <c:numCache>
                <c:formatCode>\$#,##0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3E-4F64-AC95-54AE8CB55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Analysis'!$A$37:$A$46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Coffee Maker</c:v>
                </c:pt>
                <c:pt idx="4">
                  <c:v>Blender</c:v>
                </c:pt>
                <c:pt idx="5">
                  <c:v>Office Chair</c:v>
                </c:pt>
                <c:pt idx="6">
                  <c:v>Desk</c:v>
                </c:pt>
                <c:pt idx="7">
                  <c:v>Bookshelf</c:v>
                </c:pt>
                <c:pt idx="8">
                  <c:v>Monitor</c:v>
                </c:pt>
                <c:pt idx="9">
                  <c:v>Keyboard</c:v>
                </c:pt>
              </c:strCache>
            </c:strRef>
          </c:cat>
          <c:val>
            <c:numRef>
              <c:f>'Sales Analysis'!$B$37:$B$46</c:f>
              <c:numCache>
                <c:formatCode>\$#,##0</c:formatCode>
                <c:ptCount val="10"/>
                <c:pt idx="0">
                  <c:v>67499.25</c:v>
                </c:pt>
                <c:pt idx="1">
                  <c:v>67199.039999999994</c:v>
                </c:pt>
                <c:pt idx="2">
                  <c:v>7049.5299999999988</c:v>
                </c:pt>
                <c:pt idx="3">
                  <c:v>3119.6099999999992</c:v>
                </c:pt>
                <c:pt idx="4">
                  <c:v>5219.1299999999974</c:v>
                </c:pt>
                <c:pt idx="5">
                  <c:v>10399.479999999998</c:v>
                </c:pt>
                <c:pt idx="6">
                  <c:v>23399.22</c:v>
                </c:pt>
                <c:pt idx="7">
                  <c:v>15298.979999999994</c:v>
                </c:pt>
                <c:pt idx="8">
                  <c:v>21999.119999999999</c:v>
                </c:pt>
                <c:pt idx="9">
                  <c:v>8009.1099999999969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7-49F6-9456-FC80225D3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4679999"/>
        <c:axId val="51360419"/>
      </c:barChart>
      <c:catAx>
        <c:axId val="3467999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1360419"/>
        <c:crosses val="autoZero"/>
        <c:auto val="1"/>
        <c:lblAlgn val="ctr"/>
        <c:lblOffset val="100"/>
        <c:noMultiLvlLbl val="0"/>
      </c:catAx>
      <c:valAx>
        <c:axId val="51360419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346799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Top 10 Customers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'Customer Analysis'!$C$9:$C$18</c:f>
              <c:strCache>
                <c:ptCount val="10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  <c:pt idx="8">
                  <c:v>Lawrence Reed</c:v>
                </c:pt>
                <c:pt idx="9">
                  <c:v>Joseph Jackson</c:v>
                </c:pt>
              </c:strCache>
            </c:strRef>
          </c:cat>
          <c:val>
            <c:numRef>
              <c:f>'Customer Analysis'!$D$9:$D$18</c:f>
              <c:numCache>
                <c:formatCode>\$#,##0</c:formatCode>
                <c:ptCount val="10"/>
                <c:pt idx="0">
                  <c:v>15659.65</c:v>
                </c:pt>
                <c:pt idx="1">
                  <c:v>11919.769999999999</c:v>
                </c:pt>
                <c:pt idx="2">
                  <c:v>10649.8</c:v>
                </c:pt>
                <c:pt idx="3">
                  <c:v>9799.73</c:v>
                </c:pt>
                <c:pt idx="4">
                  <c:v>8309.739999999998</c:v>
                </c:pt>
                <c:pt idx="5">
                  <c:v>8269.7900000000009</c:v>
                </c:pt>
                <c:pt idx="6">
                  <c:v>8009.7699999999995</c:v>
                </c:pt>
                <c:pt idx="7">
                  <c:v>7309.7999999999993</c:v>
                </c:pt>
                <c:pt idx="8">
                  <c:v>6989.7699999999986</c:v>
                </c:pt>
                <c:pt idx="9">
                  <c:v>6949.84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D-4169-AD7A-CA6879C5D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5255197"/>
        <c:axId val="52194173"/>
      </c:barChart>
      <c:catAx>
        <c:axId val="1525519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2194173"/>
        <c:crosses val="autoZero"/>
        <c:auto val="1"/>
        <c:lblAlgn val="ctr"/>
        <c:lblOffset val="100"/>
        <c:noMultiLvlLbl val="0"/>
      </c:catAx>
      <c:valAx>
        <c:axId val="52194173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52551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Analysis'!$A$22:$A$25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'Sales Analysis'!$B$22:$B$25</c:f>
              <c:numCache>
                <c:formatCode>\$#,##0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4-4977-AAA4-BFC9583EF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210786"/>
        <c:axId val="84553670"/>
      </c:barChart>
      <c:catAx>
        <c:axId val="102107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84553670"/>
        <c:crosses val="autoZero"/>
        <c:auto val="1"/>
        <c:lblAlgn val="ctr"/>
        <c:lblOffset val="100"/>
        <c:noMultiLvlLbl val="0"/>
      </c:catAx>
      <c:valAx>
        <c:axId val="8455367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02107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Analysis'!$A$30:$A$32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'Sales Analysis'!$B$30:$B$32</c:f>
              <c:numCache>
                <c:formatCode>\$#,##0</c:formatCode>
                <c:ptCount val="3"/>
                <c:pt idx="0">
                  <c:v>62177.810000000019</c:v>
                </c:pt>
                <c:pt idx="1">
                  <c:v>82357.540000000037</c:v>
                </c:pt>
                <c:pt idx="2">
                  <c:v>84657.12000000001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8-42C0-BC5D-65BE7BB7F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4231840"/>
        <c:axId val="68086438"/>
      </c:barChart>
      <c:catAx>
        <c:axId val="44231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68086438"/>
        <c:crosses val="autoZero"/>
        <c:auto val="1"/>
        <c:lblAlgn val="ctr"/>
        <c:lblOffset val="100"/>
        <c:noMultiLvlLbl val="0"/>
      </c:catAx>
      <c:valAx>
        <c:axId val="68086438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44231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Quantity vs Order Value (with trendline)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Orders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'Raw Data'!$H$2:$H$251</c:f>
              <c:numCache>
                <c:formatCode>General</c:formatCode>
                <c:ptCount val="25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5</c:v>
                </c:pt>
                <c:pt idx="28">
                  <c:v>2</c:v>
                </c:pt>
                <c:pt idx="29">
                  <c:v>4</c:v>
                </c:pt>
                <c:pt idx="30">
                  <c:v>5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5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5</c:v>
                </c:pt>
                <c:pt idx="43">
                  <c:v>5</c:v>
                </c:pt>
                <c:pt idx="44">
                  <c:v>1</c:v>
                </c:pt>
                <c:pt idx="45">
                  <c:v>2</c:v>
                </c:pt>
                <c:pt idx="46">
                  <c:v>4</c:v>
                </c:pt>
                <c:pt idx="47">
                  <c:v>5</c:v>
                </c:pt>
                <c:pt idx="48">
                  <c:v>2</c:v>
                </c:pt>
                <c:pt idx="49">
                  <c:v>5</c:v>
                </c:pt>
                <c:pt idx="50">
                  <c:v>5</c:v>
                </c:pt>
                <c:pt idx="51">
                  <c:v>1</c:v>
                </c:pt>
                <c:pt idx="52">
                  <c:v>2</c:v>
                </c:pt>
                <c:pt idx="53">
                  <c:v>4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5</c:v>
                </c:pt>
                <c:pt idx="63">
                  <c:v>1</c:v>
                </c:pt>
                <c:pt idx="64">
                  <c:v>2</c:v>
                </c:pt>
                <c:pt idx="65">
                  <c:v>5</c:v>
                </c:pt>
                <c:pt idx="66">
                  <c:v>4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1</c:v>
                </c:pt>
                <c:pt idx="74">
                  <c:v>5</c:v>
                </c:pt>
                <c:pt idx="75">
                  <c:v>2</c:v>
                </c:pt>
                <c:pt idx="76">
                  <c:v>4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5</c:v>
                </c:pt>
                <c:pt idx="87">
                  <c:v>4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5</c:v>
                </c:pt>
                <c:pt idx="92">
                  <c:v>2</c:v>
                </c:pt>
                <c:pt idx="93">
                  <c:v>5</c:v>
                </c:pt>
                <c:pt idx="94">
                  <c:v>3</c:v>
                </c:pt>
                <c:pt idx="95">
                  <c:v>5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3</c:v>
                </c:pt>
                <c:pt idx="105">
                  <c:v>3</c:v>
                </c:pt>
                <c:pt idx="106">
                  <c:v>4</c:v>
                </c:pt>
                <c:pt idx="107">
                  <c:v>1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2</c:v>
                </c:pt>
                <c:pt idx="112">
                  <c:v>4</c:v>
                </c:pt>
                <c:pt idx="113">
                  <c:v>5</c:v>
                </c:pt>
                <c:pt idx="114">
                  <c:v>1</c:v>
                </c:pt>
                <c:pt idx="115">
                  <c:v>4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4</c:v>
                </c:pt>
                <c:pt idx="121">
                  <c:v>2</c:v>
                </c:pt>
                <c:pt idx="122">
                  <c:v>4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5</c:v>
                </c:pt>
                <c:pt idx="128">
                  <c:v>4</c:v>
                </c:pt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5</c:v>
                </c:pt>
                <c:pt idx="135">
                  <c:v>3</c:v>
                </c:pt>
                <c:pt idx="136">
                  <c:v>5</c:v>
                </c:pt>
                <c:pt idx="137">
                  <c:v>3</c:v>
                </c:pt>
                <c:pt idx="138">
                  <c:v>3</c:v>
                </c:pt>
                <c:pt idx="139">
                  <c:v>2</c:v>
                </c:pt>
                <c:pt idx="140">
                  <c:v>1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5</c:v>
                </c:pt>
                <c:pt idx="147">
                  <c:v>2</c:v>
                </c:pt>
                <c:pt idx="148">
                  <c:v>4</c:v>
                </c:pt>
                <c:pt idx="149">
                  <c:v>1</c:v>
                </c:pt>
                <c:pt idx="150">
                  <c:v>3</c:v>
                </c:pt>
                <c:pt idx="151">
                  <c:v>5</c:v>
                </c:pt>
                <c:pt idx="152">
                  <c:v>2</c:v>
                </c:pt>
                <c:pt idx="153">
                  <c:v>3</c:v>
                </c:pt>
                <c:pt idx="154">
                  <c:v>5</c:v>
                </c:pt>
                <c:pt idx="155">
                  <c:v>2</c:v>
                </c:pt>
                <c:pt idx="156">
                  <c:v>5</c:v>
                </c:pt>
                <c:pt idx="157">
                  <c:v>4</c:v>
                </c:pt>
                <c:pt idx="158">
                  <c:v>4</c:v>
                </c:pt>
                <c:pt idx="159">
                  <c:v>2</c:v>
                </c:pt>
                <c:pt idx="160">
                  <c:v>3</c:v>
                </c:pt>
                <c:pt idx="161">
                  <c:v>4</c:v>
                </c:pt>
                <c:pt idx="162">
                  <c:v>3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66">
                  <c:v>2</c:v>
                </c:pt>
                <c:pt idx="167">
                  <c:v>1</c:v>
                </c:pt>
                <c:pt idx="168">
                  <c:v>5</c:v>
                </c:pt>
                <c:pt idx="169">
                  <c:v>2</c:v>
                </c:pt>
                <c:pt idx="170">
                  <c:v>2</c:v>
                </c:pt>
                <c:pt idx="171">
                  <c:v>3</c:v>
                </c:pt>
                <c:pt idx="172">
                  <c:v>2</c:v>
                </c:pt>
                <c:pt idx="173">
                  <c:v>2</c:v>
                </c:pt>
                <c:pt idx="174">
                  <c:v>4</c:v>
                </c:pt>
                <c:pt idx="175">
                  <c:v>1</c:v>
                </c:pt>
                <c:pt idx="176">
                  <c:v>5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5</c:v>
                </c:pt>
                <c:pt idx="181">
                  <c:v>3</c:v>
                </c:pt>
                <c:pt idx="182">
                  <c:v>3</c:v>
                </c:pt>
                <c:pt idx="183">
                  <c:v>5</c:v>
                </c:pt>
                <c:pt idx="184">
                  <c:v>5</c:v>
                </c:pt>
                <c:pt idx="185">
                  <c:v>4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4</c:v>
                </c:pt>
                <c:pt idx="190">
                  <c:v>2</c:v>
                </c:pt>
                <c:pt idx="191">
                  <c:v>3</c:v>
                </c:pt>
                <c:pt idx="192">
                  <c:v>4</c:v>
                </c:pt>
                <c:pt idx="193">
                  <c:v>5</c:v>
                </c:pt>
                <c:pt idx="194">
                  <c:v>3</c:v>
                </c:pt>
                <c:pt idx="195">
                  <c:v>5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3</c:v>
                </c:pt>
                <c:pt idx="200">
                  <c:v>2</c:v>
                </c:pt>
                <c:pt idx="201">
                  <c:v>4</c:v>
                </c:pt>
                <c:pt idx="202">
                  <c:v>2</c:v>
                </c:pt>
                <c:pt idx="203">
                  <c:v>3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5</c:v>
                </c:pt>
                <c:pt idx="208">
                  <c:v>3</c:v>
                </c:pt>
                <c:pt idx="209">
                  <c:v>3</c:v>
                </c:pt>
                <c:pt idx="210">
                  <c:v>2</c:v>
                </c:pt>
                <c:pt idx="211">
                  <c:v>2</c:v>
                </c:pt>
                <c:pt idx="212">
                  <c:v>5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5</c:v>
                </c:pt>
                <c:pt idx="217">
                  <c:v>1</c:v>
                </c:pt>
                <c:pt idx="218">
                  <c:v>1</c:v>
                </c:pt>
                <c:pt idx="219">
                  <c:v>4</c:v>
                </c:pt>
                <c:pt idx="220">
                  <c:v>5</c:v>
                </c:pt>
                <c:pt idx="221">
                  <c:v>2</c:v>
                </c:pt>
                <c:pt idx="222">
                  <c:v>4</c:v>
                </c:pt>
                <c:pt idx="223">
                  <c:v>2</c:v>
                </c:pt>
                <c:pt idx="224">
                  <c:v>2</c:v>
                </c:pt>
                <c:pt idx="225">
                  <c:v>5</c:v>
                </c:pt>
                <c:pt idx="226">
                  <c:v>5</c:v>
                </c:pt>
                <c:pt idx="227">
                  <c:v>2</c:v>
                </c:pt>
                <c:pt idx="228">
                  <c:v>5</c:v>
                </c:pt>
                <c:pt idx="229">
                  <c:v>2</c:v>
                </c:pt>
                <c:pt idx="230">
                  <c:v>5</c:v>
                </c:pt>
                <c:pt idx="231">
                  <c:v>4</c:v>
                </c:pt>
                <c:pt idx="232">
                  <c:v>1</c:v>
                </c:pt>
                <c:pt idx="233">
                  <c:v>2</c:v>
                </c:pt>
                <c:pt idx="234">
                  <c:v>2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4</c:v>
                </c:pt>
                <c:pt idx="239">
                  <c:v>4</c:v>
                </c:pt>
                <c:pt idx="240">
                  <c:v>5</c:v>
                </c:pt>
                <c:pt idx="241">
                  <c:v>3</c:v>
                </c:pt>
                <c:pt idx="242">
                  <c:v>2</c:v>
                </c:pt>
                <c:pt idx="243">
                  <c:v>2</c:v>
                </c:pt>
                <c:pt idx="244">
                  <c:v>3</c:v>
                </c:pt>
                <c:pt idx="245">
                  <c:v>3</c:v>
                </c:pt>
                <c:pt idx="246">
                  <c:v>1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</c:numCache>
            </c:numRef>
          </c:xVal>
          <c:yVal>
            <c:numRef>
              <c:f>'Raw Data'!$N$2:$N$251</c:f>
              <c:numCache>
                <c:formatCode>\$#,##0.00</c:formatCode>
                <c:ptCount val="250"/>
                <c:pt idx="0">
                  <c:v>749.97</c:v>
                </c:pt>
                <c:pt idx="1">
                  <c:v>749.97</c:v>
                </c:pt>
                <c:pt idx="2">
                  <c:v>179.97</c:v>
                </c:pt>
                <c:pt idx="3">
                  <c:v>179.97</c:v>
                </c:pt>
                <c:pt idx="4">
                  <c:v>749.95</c:v>
                </c:pt>
                <c:pt idx="5">
                  <c:v>119.98</c:v>
                </c:pt>
                <c:pt idx="6">
                  <c:v>749.95</c:v>
                </c:pt>
                <c:pt idx="7">
                  <c:v>179.97</c:v>
                </c:pt>
                <c:pt idx="8">
                  <c:v>2699.97</c:v>
                </c:pt>
                <c:pt idx="9">
                  <c:v>179.97</c:v>
                </c:pt>
                <c:pt idx="10">
                  <c:v>149.99</c:v>
                </c:pt>
                <c:pt idx="11">
                  <c:v>749.95</c:v>
                </c:pt>
                <c:pt idx="12">
                  <c:v>449.97</c:v>
                </c:pt>
                <c:pt idx="13">
                  <c:v>179.97</c:v>
                </c:pt>
                <c:pt idx="14">
                  <c:v>2099.9699999999998</c:v>
                </c:pt>
                <c:pt idx="15">
                  <c:v>899.99</c:v>
                </c:pt>
                <c:pt idx="16">
                  <c:v>599.96</c:v>
                </c:pt>
                <c:pt idx="17">
                  <c:v>1399.98</c:v>
                </c:pt>
                <c:pt idx="18">
                  <c:v>3599.96</c:v>
                </c:pt>
                <c:pt idx="19">
                  <c:v>749.97</c:v>
                </c:pt>
                <c:pt idx="20">
                  <c:v>3499.95</c:v>
                </c:pt>
                <c:pt idx="21">
                  <c:v>2799.96</c:v>
                </c:pt>
                <c:pt idx="22">
                  <c:v>999.96</c:v>
                </c:pt>
                <c:pt idx="23">
                  <c:v>1199.96</c:v>
                </c:pt>
                <c:pt idx="24">
                  <c:v>1249.95</c:v>
                </c:pt>
                <c:pt idx="25">
                  <c:v>1499.95</c:v>
                </c:pt>
                <c:pt idx="26">
                  <c:v>239.97</c:v>
                </c:pt>
                <c:pt idx="27">
                  <c:v>449.95</c:v>
                </c:pt>
                <c:pt idx="28">
                  <c:v>119.98</c:v>
                </c:pt>
                <c:pt idx="29">
                  <c:v>239.96</c:v>
                </c:pt>
                <c:pt idx="30">
                  <c:v>999.95</c:v>
                </c:pt>
                <c:pt idx="31">
                  <c:v>299.98</c:v>
                </c:pt>
                <c:pt idx="32">
                  <c:v>449.97</c:v>
                </c:pt>
                <c:pt idx="33">
                  <c:v>899.99</c:v>
                </c:pt>
                <c:pt idx="34">
                  <c:v>899.97</c:v>
                </c:pt>
                <c:pt idx="35">
                  <c:v>239.97</c:v>
                </c:pt>
                <c:pt idx="36">
                  <c:v>599.97</c:v>
                </c:pt>
                <c:pt idx="37">
                  <c:v>3499.95</c:v>
                </c:pt>
                <c:pt idx="38">
                  <c:v>269.97000000000003</c:v>
                </c:pt>
                <c:pt idx="39">
                  <c:v>79.989999999999995</c:v>
                </c:pt>
                <c:pt idx="40">
                  <c:v>119.98</c:v>
                </c:pt>
                <c:pt idx="41">
                  <c:v>89.99</c:v>
                </c:pt>
                <c:pt idx="42">
                  <c:v>449.95</c:v>
                </c:pt>
                <c:pt idx="43">
                  <c:v>1249.95</c:v>
                </c:pt>
                <c:pt idx="44">
                  <c:v>89.99</c:v>
                </c:pt>
                <c:pt idx="45">
                  <c:v>299.98</c:v>
                </c:pt>
                <c:pt idx="46">
                  <c:v>239.96</c:v>
                </c:pt>
                <c:pt idx="47">
                  <c:v>449.95</c:v>
                </c:pt>
                <c:pt idx="48">
                  <c:v>179.98</c:v>
                </c:pt>
                <c:pt idx="49">
                  <c:v>4499.95</c:v>
                </c:pt>
                <c:pt idx="50">
                  <c:v>4499.95</c:v>
                </c:pt>
                <c:pt idx="51">
                  <c:v>59.99</c:v>
                </c:pt>
                <c:pt idx="52">
                  <c:v>599.98</c:v>
                </c:pt>
                <c:pt idx="53">
                  <c:v>359.96</c:v>
                </c:pt>
                <c:pt idx="54">
                  <c:v>79.989999999999995</c:v>
                </c:pt>
                <c:pt idx="55">
                  <c:v>179.98</c:v>
                </c:pt>
                <c:pt idx="56">
                  <c:v>2099.9699999999998</c:v>
                </c:pt>
                <c:pt idx="57">
                  <c:v>3599.96</c:v>
                </c:pt>
                <c:pt idx="58">
                  <c:v>149.99</c:v>
                </c:pt>
                <c:pt idx="59">
                  <c:v>179.98</c:v>
                </c:pt>
                <c:pt idx="60">
                  <c:v>89.99</c:v>
                </c:pt>
                <c:pt idx="61">
                  <c:v>89.99</c:v>
                </c:pt>
                <c:pt idx="62">
                  <c:v>399.95</c:v>
                </c:pt>
                <c:pt idx="63">
                  <c:v>149.99</c:v>
                </c:pt>
                <c:pt idx="64">
                  <c:v>1399.98</c:v>
                </c:pt>
                <c:pt idx="65">
                  <c:v>449.95</c:v>
                </c:pt>
                <c:pt idx="66">
                  <c:v>239.96</c:v>
                </c:pt>
                <c:pt idx="67">
                  <c:v>149.99</c:v>
                </c:pt>
                <c:pt idx="68">
                  <c:v>299.99</c:v>
                </c:pt>
                <c:pt idx="69">
                  <c:v>399.98</c:v>
                </c:pt>
                <c:pt idx="70">
                  <c:v>179.97</c:v>
                </c:pt>
                <c:pt idx="71">
                  <c:v>449.97</c:v>
                </c:pt>
                <c:pt idx="72">
                  <c:v>599.97</c:v>
                </c:pt>
                <c:pt idx="73">
                  <c:v>899.99</c:v>
                </c:pt>
                <c:pt idx="74">
                  <c:v>4499.95</c:v>
                </c:pt>
                <c:pt idx="75">
                  <c:v>119.98</c:v>
                </c:pt>
                <c:pt idx="76">
                  <c:v>999.96</c:v>
                </c:pt>
                <c:pt idx="77">
                  <c:v>499.98</c:v>
                </c:pt>
                <c:pt idx="78">
                  <c:v>299.99</c:v>
                </c:pt>
                <c:pt idx="79">
                  <c:v>179.98</c:v>
                </c:pt>
                <c:pt idx="80">
                  <c:v>899.97</c:v>
                </c:pt>
                <c:pt idx="81">
                  <c:v>1399.98</c:v>
                </c:pt>
                <c:pt idx="82">
                  <c:v>3599.96</c:v>
                </c:pt>
                <c:pt idx="83">
                  <c:v>299.98</c:v>
                </c:pt>
                <c:pt idx="84">
                  <c:v>299.98</c:v>
                </c:pt>
                <c:pt idx="85">
                  <c:v>89.99</c:v>
                </c:pt>
                <c:pt idx="86">
                  <c:v>1499.95</c:v>
                </c:pt>
                <c:pt idx="87">
                  <c:v>599.96</c:v>
                </c:pt>
                <c:pt idx="88">
                  <c:v>1249.95</c:v>
                </c:pt>
                <c:pt idx="89">
                  <c:v>749.97</c:v>
                </c:pt>
                <c:pt idx="90">
                  <c:v>799.96</c:v>
                </c:pt>
                <c:pt idx="91">
                  <c:v>999.95</c:v>
                </c:pt>
                <c:pt idx="92">
                  <c:v>179.98</c:v>
                </c:pt>
                <c:pt idx="93">
                  <c:v>4499.95</c:v>
                </c:pt>
                <c:pt idx="94">
                  <c:v>449.97</c:v>
                </c:pt>
                <c:pt idx="95">
                  <c:v>749.95</c:v>
                </c:pt>
                <c:pt idx="96">
                  <c:v>239.97</c:v>
                </c:pt>
                <c:pt idx="97">
                  <c:v>499.98</c:v>
                </c:pt>
                <c:pt idx="98">
                  <c:v>699.99</c:v>
                </c:pt>
                <c:pt idx="99">
                  <c:v>449.97</c:v>
                </c:pt>
                <c:pt idx="100">
                  <c:v>1399.98</c:v>
                </c:pt>
                <c:pt idx="101">
                  <c:v>249.99</c:v>
                </c:pt>
                <c:pt idx="102">
                  <c:v>249.99</c:v>
                </c:pt>
                <c:pt idx="103">
                  <c:v>1399.98</c:v>
                </c:pt>
                <c:pt idx="104">
                  <c:v>179.97</c:v>
                </c:pt>
                <c:pt idx="105">
                  <c:v>179.97</c:v>
                </c:pt>
                <c:pt idx="106">
                  <c:v>319.95999999999998</c:v>
                </c:pt>
                <c:pt idx="107">
                  <c:v>79.989999999999995</c:v>
                </c:pt>
                <c:pt idx="108">
                  <c:v>899.97</c:v>
                </c:pt>
                <c:pt idx="109">
                  <c:v>179.98</c:v>
                </c:pt>
                <c:pt idx="110">
                  <c:v>599.96</c:v>
                </c:pt>
                <c:pt idx="111">
                  <c:v>499.98</c:v>
                </c:pt>
                <c:pt idx="112">
                  <c:v>799.96</c:v>
                </c:pt>
                <c:pt idx="113">
                  <c:v>449.95</c:v>
                </c:pt>
                <c:pt idx="114">
                  <c:v>149.99</c:v>
                </c:pt>
                <c:pt idx="115">
                  <c:v>2799.96</c:v>
                </c:pt>
                <c:pt idx="116">
                  <c:v>2699.97</c:v>
                </c:pt>
                <c:pt idx="117">
                  <c:v>449.97</c:v>
                </c:pt>
                <c:pt idx="118">
                  <c:v>599.98</c:v>
                </c:pt>
                <c:pt idx="119">
                  <c:v>199.99</c:v>
                </c:pt>
                <c:pt idx="120">
                  <c:v>1199.96</c:v>
                </c:pt>
                <c:pt idx="121">
                  <c:v>119.98</c:v>
                </c:pt>
                <c:pt idx="122">
                  <c:v>599.96</c:v>
                </c:pt>
                <c:pt idx="123">
                  <c:v>1399.98</c:v>
                </c:pt>
                <c:pt idx="124">
                  <c:v>449.97</c:v>
                </c:pt>
                <c:pt idx="125">
                  <c:v>899.97</c:v>
                </c:pt>
                <c:pt idx="126">
                  <c:v>2699.97</c:v>
                </c:pt>
                <c:pt idx="127">
                  <c:v>3499.95</c:v>
                </c:pt>
                <c:pt idx="128">
                  <c:v>2799.96</c:v>
                </c:pt>
                <c:pt idx="129">
                  <c:v>899.99</c:v>
                </c:pt>
                <c:pt idx="130">
                  <c:v>299.98</c:v>
                </c:pt>
                <c:pt idx="131">
                  <c:v>269.97000000000003</c:v>
                </c:pt>
                <c:pt idx="132">
                  <c:v>299.98</c:v>
                </c:pt>
                <c:pt idx="133">
                  <c:v>1399.98</c:v>
                </c:pt>
                <c:pt idx="134">
                  <c:v>3499.95</c:v>
                </c:pt>
                <c:pt idx="135">
                  <c:v>269.97000000000003</c:v>
                </c:pt>
                <c:pt idx="136">
                  <c:v>1249.95</c:v>
                </c:pt>
                <c:pt idx="137">
                  <c:v>899.97</c:v>
                </c:pt>
                <c:pt idx="138">
                  <c:v>269.97000000000003</c:v>
                </c:pt>
                <c:pt idx="139">
                  <c:v>299.98</c:v>
                </c:pt>
                <c:pt idx="140">
                  <c:v>249.99</c:v>
                </c:pt>
                <c:pt idx="141">
                  <c:v>449.97</c:v>
                </c:pt>
                <c:pt idx="142">
                  <c:v>299.95</c:v>
                </c:pt>
                <c:pt idx="143">
                  <c:v>999.96</c:v>
                </c:pt>
                <c:pt idx="144">
                  <c:v>749.95</c:v>
                </c:pt>
                <c:pt idx="145">
                  <c:v>179.97</c:v>
                </c:pt>
                <c:pt idx="146">
                  <c:v>749.95</c:v>
                </c:pt>
                <c:pt idx="147">
                  <c:v>1399.98</c:v>
                </c:pt>
                <c:pt idx="148">
                  <c:v>799.96</c:v>
                </c:pt>
                <c:pt idx="149">
                  <c:v>59.99</c:v>
                </c:pt>
                <c:pt idx="150">
                  <c:v>2099.9699999999998</c:v>
                </c:pt>
                <c:pt idx="151">
                  <c:v>1249.95</c:v>
                </c:pt>
                <c:pt idx="152">
                  <c:v>299.98</c:v>
                </c:pt>
                <c:pt idx="153">
                  <c:v>899.97</c:v>
                </c:pt>
                <c:pt idx="154">
                  <c:v>1249.95</c:v>
                </c:pt>
                <c:pt idx="155">
                  <c:v>299.98</c:v>
                </c:pt>
                <c:pt idx="156">
                  <c:v>3499.95</c:v>
                </c:pt>
                <c:pt idx="157">
                  <c:v>999.96</c:v>
                </c:pt>
                <c:pt idx="158">
                  <c:v>2799.96</c:v>
                </c:pt>
                <c:pt idx="159">
                  <c:v>499.98</c:v>
                </c:pt>
                <c:pt idx="160">
                  <c:v>179.97</c:v>
                </c:pt>
                <c:pt idx="161">
                  <c:v>319.95999999999998</c:v>
                </c:pt>
                <c:pt idx="162">
                  <c:v>239.97</c:v>
                </c:pt>
                <c:pt idx="163">
                  <c:v>1799.98</c:v>
                </c:pt>
                <c:pt idx="164">
                  <c:v>149.99</c:v>
                </c:pt>
                <c:pt idx="165">
                  <c:v>599.98</c:v>
                </c:pt>
                <c:pt idx="166">
                  <c:v>119.98</c:v>
                </c:pt>
                <c:pt idx="167">
                  <c:v>89.99</c:v>
                </c:pt>
                <c:pt idx="168">
                  <c:v>4499.95</c:v>
                </c:pt>
                <c:pt idx="169">
                  <c:v>299.98</c:v>
                </c:pt>
                <c:pt idx="170">
                  <c:v>299.98</c:v>
                </c:pt>
                <c:pt idx="171">
                  <c:v>449.97</c:v>
                </c:pt>
                <c:pt idx="172">
                  <c:v>599.98</c:v>
                </c:pt>
                <c:pt idx="173">
                  <c:v>599.98</c:v>
                </c:pt>
                <c:pt idx="174">
                  <c:v>799.96</c:v>
                </c:pt>
                <c:pt idx="175">
                  <c:v>89.99</c:v>
                </c:pt>
                <c:pt idx="176">
                  <c:v>749.95</c:v>
                </c:pt>
                <c:pt idx="177">
                  <c:v>899.99</c:v>
                </c:pt>
                <c:pt idx="178">
                  <c:v>179.98</c:v>
                </c:pt>
                <c:pt idx="179">
                  <c:v>899.99</c:v>
                </c:pt>
                <c:pt idx="180">
                  <c:v>749.95</c:v>
                </c:pt>
                <c:pt idx="181">
                  <c:v>899.97</c:v>
                </c:pt>
                <c:pt idx="182">
                  <c:v>2099.9699999999998</c:v>
                </c:pt>
                <c:pt idx="183">
                  <c:v>999.95</c:v>
                </c:pt>
                <c:pt idx="184">
                  <c:v>1249.95</c:v>
                </c:pt>
                <c:pt idx="185">
                  <c:v>599.96</c:v>
                </c:pt>
                <c:pt idx="186">
                  <c:v>2099.9699999999998</c:v>
                </c:pt>
                <c:pt idx="187">
                  <c:v>79.989999999999995</c:v>
                </c:pt>
                <c:pt idx="188">
                  <c:v>299.99</c:v>
                </c:pt>
                <c:pt idx="189">
                  <c:v>999.96</c:v>
                </c:pt>
                <c:pt idx="190">
                  <c:v>299.98</c:v>
                </c:pt>
                <c:pt idx="191">
                  <c:v>899.97</c:v>
                </c:pt>
                <c:pt idx="192">
                  <c:v>799.96</c:v>
                </c:pt>
                <c:pt idx="193">
                  <c:v>1499.95</c:v>
                </c:pt>
                <c:pt idx="194">
                  <c:v>449.97</c:v>
                </c:pt>
                <c:pt idx="195">
                  <c:v>299.95</c:v>
                </c:pt>
                <c:pt idx="196">
                  <c:v>239.96</c:v>
                </c:pt>
                <c:pt idx="197">
                  <c:v>999.96</c:v>
                </c:pt>
                <c:pt idx="198">
                  <c:v>3599.96</c:v>
                </c:pt>
                <c:pt idx="199">
                  <c:v>899.97</c:v>
                </c:pt>
                <c:pt idx="200">
                  <c:v>1399.98</c:v>
                </c:pt>
                <c:pt idx="201">
                  <c:v>2799.96</c:v>
                </c:pt>
                <c:pt idx="202">
                  <c:v>179.98</c:v>
                </c:pt>
                <c:pt idx="203">
                  <c:v>269.97000000000003</c:v>
                </c:pt>
                <c:pt idx="204">
                  <c:v>59.99</c:v>
                </c:pt>
                <c:pt idx="205">
                  <c:v>449.97</c:v>
                </c:pt>
                <c:pt idx="206">
                  <c:v>1499.95</c:v>
                </c:pt>
                <c:pt idx="207">
                  <c:v>299.95</c:v>
                </c:pt>
                <c:pt idx="208">
                  <c:v>239.97</c:v>
                </c:pt>
                <c:pt idx="209">
                  <c:v>599.97</c:v>
                </c:pt>
                <c:pt idx="210">
                  <c:v>179.98</c:v>
                </c:pt>
                <c:pt idx="211">
                  <c:v>299.98</c:v>
                </c:pt>
                <c:pt idx="212">
                  <c:v>3499.95</c:v>
                </c:pt>
                <c:pt idx="213">
                  <c:v>449.97</c:v>
                </c:pt>
                <c:pt idx="214">
                  <c:v>2699.97</c:v>
                </c:pt>
                <c:pt idx="215">
                  <c:v>599.97</c:v>
                </c:pt>
                <c:pt idx="216">
                  <c:v>1499.95</c:v>
                </c:pt>
                <c:pt idx="217">
                  <c:v>699.99</c:v>
                </c:pt>
                <c:pt idx="218">
                  <c:v>699.99</c:v>
                </c:pt>
                <c:pt idx="219">
                  <c:v>599.96</c:v>
                </c:pt>
                <c:pt idx="220">
                  <c:v>449.95</c:v>
                </c:pt>
                <c:pt idx="221">
                  <c:v>399.98</c:v>
                </c:pt>
                <c:pt idx="222">
                  <c:v>239.96</c:v>
                </c:pt>
                <c:pt idx="223">
                  <c:v>599.98</c:v>
                </c:pt>
                <c:pt idx="224">
                  <c:v>299.98</c:v>
                </c:pt>
                <c:pt idx="225">
                  <c:v>3499.95</c:v>
                </c:pt>
                <c:pt idx="226">
                  <c:v>299.95</c:v>
                </c:pt>
                <c:pt idx="227">
                  <c:v>179.98</c:v>
                </c:pt>
                <c:pt idx="228">
                  <c:v>1249.95</c:v>
                </c:pt>
                <c:pt idx="229">
                  <c:v>299.98</c:v>
                </c:pt>
                <c:pt idx="230">
                  <c:v>4499.95</c:v>
                </c:pt>
                <c:pt idx="231">
                  <c:v>599.96</c:v>
                </c:pt>
                <c:pt idx="232">
                  <c:v>249.99</c:v>
                </c:pt>
                <c:pt idx="233">
                  <c:v>119.98</c:v>
                </c:pt>
                <c:pt idx="234">
                  <c:v>299.98</c:v>
                </c:pt>
                <c:pt idx="235">
                  <c:v>2699.97</c:v>
                </c:pt>
                <c:pt idx="236">
                  <c:v>2699.97</c:v>
                </c:pt>
                <c:pt idx="237">
                  <c:v>899.97</c:v>
                </c:pt>
                <c:pt idx="238">
                  <c:v>599.96</c:v>
                </c:pt>
                <c:pt idx="239">
                  <c:v>319.95999999999998</c:v>
                </c:pt>
                <c:pt idx="240">
                  <c:v>449.95</c:v>
                </c:pt>
                <c:pt idx="241">
                  <c:v>449.97</c:v>
                </c:pt>
                <c:pt idx="242">
                  <c:v>179.98</c:v>
                </c:pt>
                <c:pt idx="243">
                  <c:v>1399.98</c:v>
                </c:pt>
                <c:pt idx="244">
                  <c:v>2699.97</c:v>
                </c:pt>
                <c:pt idx="245">
                  <c:v>239.97</c:v>
                </c:pt>
                <c:pt idx="246">
                  <c:v>89.99</c:v>
                </c:pt>
                <c:pt idx="247">
                  <c:v>2099.9699999999998</c:v>
                </c:pt>
                <c:pt idx="248">
                  <c:v>179.98</c:v>
                </c:pt>
                <c:pt idx="249">
                  <c:v>269.97000000000003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5E-4021-9784-9C3FCC0AA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28175"/>
        <c:axId val="79336559"/>
      </c:scatterChart>
      <c:valAx>
        <c:axId val="236281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36559"/>
        <c:crosses val="autoZero"/>
        <c:crossBetween val="midCat"/>
      </c:valAx>
      <c:valAx>
        <c:axId val="793365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2817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Quantity vs Order Value (with trendline)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Orders</c:v>
          </c:tx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8440">
                <a:solidFill>
                  <a:srgbClr val="C55A11"/>
                </a:solidFill>
                <a:prstDash val="dash"/>
                <a:round/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'Raw Data'!$H$2:$H$251</c:f>
              <c:numCache>
                <c:formatCode>General</c:formatCode>
                <c:ptCount val="25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5</c:v>
                </c:pt>
                <c:pt idx="28">
                  <c:v>2</c:v>
                </c:pt>
                <c:pt idx="29">
                  <c:v>4</c:v>
                </c:pt>
                <c:pt idx="30">
                  <c:v>5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5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5</c:v>
                </c:pt>
                <c:pt idx="43">
                  <c:v>5</c:v>
                </c:pt>
                <c:pt idx="44">
                  <c:v>1</c:v>
                </c:pt>
                <c:pt idx="45">
                  <c:v>2</c:v>
                </c:pt>
                <c:pt idx="46">
                  <c:v>4</c:v>
                </c:pt>
                <c:pt idx="47">
                  <c:v>5</c:v>
                </c:pt>
                <c:pt idx="48">
                  <c:v>2</c:v>
                </c:pt>
                <c:pt idx="49">
                  <c:v>5</c:v>
                </c:pt>
                <c:pt idx="50">
                  <c:v>5</c:v>
                </c:pt>
                <c:pt idx="51">
                  <c:v>1</c:v>
                </c:pt>
                <c:pt idx="52">
                  <c:v>2</c:v>
                </c:pt>
                <c:pt idx="53">
                  <c:v>4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5</c:v>
                </c:pt>
                <c:pt idx="63">
                  <c:v>1</c:v>
                </c:pt>
                <c:pt idx="64">
                  <c:v>2</c:v>
                </c:pt>
                <c:pt idx="65">
                  <c:v>5</c:v>
                </c:pt>
                <c:pt idx="66">
                  <c:v>4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1</c:v>
                </c:pt>
                <c:pt idx="74">
                  <c:v>5</c:v>
                </c:pt>
                <c:pt idx="75">
                  <c:v>2</c:v>
                </c:pt>
                <c:pt idx="76">
                  <c:v>4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5</c:v>
                </c:pt>
                <c:pt idx="87">
                  <c:v>4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5</c:v>
                </c:pt>
                <c:pt idx="92">
                  <c:v>2</c:v>
                </c:pt>
                <c:pt idx="93">
                  <c:v>5</c:v>
                </c:pt>
                <c:pt idx="94">
                  <c:v>3</c:v>
                </c:pt>
                <c:pt idx="95">
                  <c:v>5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3</c:v>
                </c:pt>
                <c:pt idx="105">
                  <c:v>3</c:v>
                </c:pt>
                <c:pt idx="106">
                  <c:v>4</c:v>
                </c:pt>
                <c:pt idx="107">
                  <c:v>1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2</c:v>
                </c:pt>
                <c:pt idx="112">
                  <c:v>4</c:v>
                </c:pt>
                <c:pt idx="113">
                  <c:v>5</c:v>
                </c:pt>
                <c:pt idx="114">
                  <c:v>1</c:v>
                </c:pt>
                <c:pt idx="115">
                  <c:v>4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4</c:v>
                </c:pt>
                <c:pt idx="121">
                  <c:v>2</c:v>
                </c:pt>
                <c:pt idx="122">
                  <c:v>4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5</c:v>
                </c:pt>
                <c:pt idx="128">
                  <c:v>4</c:v>
                </c:pt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5</c:v>
                </c:pt>
                <c:pt idx="135">
                  <c:v>3</c:v>
                </c:pt>
                <c:pt idx="136">
                  <c:v>5</c:v>
                </c:pt>
                <c:pt idx="137">
                  <c:v>3</c:v>
                </c:pt>
                <c:pt idx="138">
                  <c:v>3</c:v>
                </c:pt>
                <c:pt idx="139">
                  <c:v>2</c:v>
                </c:pt>
                <c:pt idx="140">
                  <c:v>1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5</c:v>
                </c:pt>
                <c:pt idx="147">
                  <c:v>2</c:v>
                </c:pt>
                <c:pt idx="148">
                  <c:v>4</c:v>
                </c:pt>
                <c:pt idx="149">
                  <c:v>1</c:v>
                </c:pt>
                <c:pt idx="150">
                  <c:v>3</c:v>
                </c:pt>
                <c:pt idx="151">
                  <c:v>5</c:v>
                </c:pt>
                <c:pt idx="152">
                  <c:v>2</c:v>
                </c:pt>
                <c:pt idx="153">
                  <c:v>3</c:v>
                </c:pt>
                <c:pt idx="154">
                  <c:v>5</c:v>
                </c:pt>
                <c:pt idx="155">
                  <c:v>2</c:v>
                </c:pt>
                <c:pt idx="156">
                  <c:v>5</c:v>
                </c:pt>
                <c:pt idx="157">
                  <c:v>4</c:v>
                </c:pt>
                <c:pt idx="158">
                  <c:v>4</c:v>
                </c:pt>
                <c:pt idx="159">
                  <c:v>2</c:v>
                </c:pt>
                <c:pt idx="160">
                  <c:v>3</c:v>
                </c:pt>
                <c:pt idx="161">
                  <c:v>4</c:v>
                </c:pt>
                <c:pt idx="162">
                  <c:v>3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66">
                  <c:v>2</c:v>
                </c:pt>
                <c:pt idx="167">
                  <c:v>1</c:v>
                </c:pt>
                <c:pt idx="168">
                  <c:v>5</c:v>
                </c:pt>
                <c:pt idx="169">
                  <c:v>2</c:v>
                </c:pt>
                <c:pt idx="170">
                  <c:v>2</c:v>
                </c:pt>
                <c:pt idx="171">
                  <c:v>3</c:v>
                </c:pt>
                <c:pt idx="172">
                  <c:v>2</c:v>
                </c:pt>
                <c:pt idx="173">
                  <c:v>2</c:v>
                </c:pt>
                <c:pt idx="174">
                  <c:v>4</c:v>
                </c:pt>
                <c:pt idx="175">
                  <c:v>1</c:v>
                </c:pt>
                <c:pt idx="176">
                  <c:v>5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5</c:v>
                </c:pt>
                <c:pt idx="181">
                  <c:v>3</c:v>
                </c:pt>
                <c:pt idx="182">
                  <c:v>3</c:v>
                </c:pt>
                <c:pt idx="183">
                  <c:v>5</c:v>
                </c:pt>
                <c:pt idx="184">
                  <c:v>5</c:v>
                </c:pt>
                <c:pt idx="185">
                  <c:v>4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4</c:v>
                </c:pt>
                <c:pt idx="190">
                  <c:v>2</c:v>
                </c:pt>
                <c:pt idx="191">
                  <c:v>3</c:v>
                </c:pt>
                <c:pt idx="192">
                  <c:v>4</c:v>
                </c:pt>
                <c:pt idx="193">
                  <c:v>5</c:v>
                </c:pt>
                <c:pt idx="194">
                  <c:v>3</c:v>
                </c:pt>
                <c:pt idx="195">
                  <c:v>5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3</c:v>
                </c:pt>
                <c:pt idx="200">
                  <c:v>2</c:v>
                </c:pt>
                <c:pt idx="201">
                  <c:v>4</c:v>
                </c:pt>
                <c:pt idx="202">
                  <c:v>2</c:v>
                </c:pt>
                <c:pt idx="203">
                  <c:v>3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5</c:v>
                </c:pt>
                <c:pt idx="208">
                  <c:v>3</c:v>
                </c:pt>
                <c:pt idx="209">
                  <c:v>3</c:v>
                </c:pt>
                <c:pt idx="210">
                  <c:v>2</c:v>
                </c:pt>
                <c:pt idx="211">
                  <c:v>2</c:v>
                </c:pt>
                <c:pt idx="212">
                  <c:v>5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5</c:v>
                </c:pt>
                <c:pt idx="217">
                  <c:v>1</c:v>
                </c:pt>
                <c:pt idx="218">
                  <c:v>1</c:v>
                </c:pt>
                <c:pt idx="219">
                  <c:v>4</c:v>
                </c:pt>
                <c:pt idx="220">
                  <c:v>5</c:v>
                </c:pt>
                <c:pt idx="221">
                  <c:v>2</c:v>
                </c:pt>
                <c:pt idx="222">
                  <c:v>4</c:v>
                </c:pt>
                <c:pt idx="223">
                  <c:v>2</c:v>
                </c:pt>
                <c:pt idx="224">
                  <c:v>2</c:v>
                </c:pt>
                <c:pt idx="225">
                  <c:v>5</c:v>
                </c:pt>
                <c:pt idx="226">
                  <c:v>5</c:v>
                </c:pt>
                <c:pt idx="227">
                  <c:v>2</c:v>
                </c:pt>
                <c:pt idx="228">
                  <c:v>5</c:v>
                </c:pt>
                <c:pt idx="229">
                  <c:v>2</c:v>
                </c:pt>
                <c:pt idx="230">
                  <c:v>5</c:v>
                </c:pt>
                <c:pt idx="231">
                  <c:v>4</c:v>
                </c:pt>
                <c:pt idx="232">
                  <c:v>1</c:v>
                </c:pt>
                <c:pt idx="233">
                  <c:v>2</c:v>
                </c:pt>
                <c:pt idx="234">
                  <c:v>2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4</c:v>
                </c:pt>
                <c:pt idx="239">
                  <c:v>4</c:v>
                </c:pt>
                <c:pt idx="240">
                  <c:v>5</c:v>
                </c:pt>
                <c:pt idx="241">
                  <c:v>3</c:v>
                </c:pt>
                <c:pt idx="242">
                  <c:v>2</c:v>
                </c:pt>
                <c:pt idx="243">
                  <c:v>2</c:v>
                </c:pt>
                <c:pt idx="244">
                  <c:v>3</c:v>
                </c:pt>
                <c:pt idx="245">
                  <c:v>3</c:v>
                </c:pt>
                <c:pt idx="246">
                  <c:v>1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</c:numCache>
            </c:numRef>
          </c:xVal>
          <c:yVal>
            <c:numRef>
              <c:f>'Raw Data'!$N$2:$N$251</c:f>
              <c:numCache>
                <c:formatCode>\$#,##0.00</c:formatCode>
                <c:ptCount val="250"/>
                <c:pt idx="0">
                  <c:v>749.97</c:v>
                </c:pt>
                <c:pt idx="1">
                  <c:v>749.97</c:v>
                </c:pt>
                <c:pt idx="2">
                  <c:v>179.97</c:v>
                </c:pt>
                <c:pt idx="3">
                  <c:v>179.97</c:v>
                </c:pt>
                <c:pt idx="4">
                  <c:v>749.95</c:v>
                </c:pt>
                <c:pt idx="5">
                  <c:v>119.98</c:v>
                </c:pt>
                <c:pt idx="6">
                  <c:v>749.95</c:v>
                </c:pt>
                <c:pt idx="7">
                  <c:v>179.97</c:v>
                </c:pt>
                <c:pt idx="8">
                  <c:v>2699.97</c:v>
                </c:pt>
                <c:pt idx="9">
                  <c:v>179.97</c:v>
                </c:pt>
                <c:pt idx="10">
                  <c:v>149.99</c:v>
                </c:pt>
                <c:pt idx="11">
                  <c:v>749.95</c:v>
                </c:pt>
                <c:pt idx="12">
                  <c:v>449.97</c:v>
                </c:pt>
                <c:pt idx="13">
                  <c:v>179.97</c:v>
                </c:pt>
                <c:pt idx="14">
                  <c:v>2099.9699999999998</c:v>
                </c:pt>
                <c:pt idx="15">
                  <c:v>899.99</c:v>
                </c:pt>
                <c:pt idx="16">
                  <c:v>599.96</c:v>
                </c:pt>
                <c:pt idx="17">
                  <c:v>1399.98</c:v>
                </c:pt>
                <c:pt idx="18">
                  <c:v>3599.96</c:v>
                </c:pt>
                <c:pt idx="19">
                  <c:v>749.97</c:v>
                </c:pt>
                <c:pt idx="20">
                  <c:v>3499.95</c:v>
                </c:pt>
                <c:pt idx="21">
                  <c:v>2799.96</c:v>
                </c:pt>
                <c:pt idx="22">
                  <c:v>999.96</c:v>
                </c:pt>
                <c:pt idx="23">
                  <c:v>1199.96</c:v>
                </c:pt>
                <c:pt idx="24">
                  <c:v>1249.95</c:v>
                </c:pt>
                <c:pt idx="25">
                  <c:v>1499.95</c:v>
                </c:pt>
                <c:pt idx="26">
                  <c:v>239.97</c:v>
                </c:pt>
                <c:pt idx="27">
                  <c:v>449.95</c:v>
                </c:pt>
                <c:pt idx="28">
                  <c:v>119.98</c:v>
                </c:pt>
                <c:pt idx="29">
                  <c:v>239.96</c:v>
                </c:pt>
                <c:pt idx="30">
                  <c:v>999.95</c:v>
                </c:pt>
                <c:pt idx="31">
                  <c:v>299.98</c:v>
                </c:pt>
                <c:pt idx="32">
                  <c:v>449.97</c:v>
                </c:pt>
                <c:pt idx="33">
                  <c:v>899.99</c:v>
                </c:pt>
                <c:pt idx="34">
                  <c:v>899.97</c:v>
                </c:pt>
                <c:pt idx="35">
                  <c:v>239.97</c:v>
                </c:pt>
                <c:pt idx="36">
                  <c:v>599.97</c:v>
                </c:pt>
                <c:pt idx="37">
                  <c:v>3499.95</c:v>
                </c:pt>
                <c:pt idx="38">
                  <c:v>269.97000000000003</c:v>
                </c:pt>
                <c:pt idx="39">
                  <c:v>79.989999999999995</c:v>
                </c:pt>
                <c:pt idx="40">
                  <c:v>119.98</c:v>
                </c:pt>
                <c:pt idx="41">
                  <c:v>89.99</c:v>
                </c:pt>
                <c:pt idx="42">
                  <c:v>449.95</c:v>
                </c:pt>
                <c:pt idx="43">
                  <c:v>1249.95</c:v>
                </c:pt>
                <c:pt idx="44">
                  <c:v>89.99</c:v>
                </c:pt>
                <c:pt idx="45">
                  <c:v>299.98</c:v>
                </c:pt>
                <c:pt idx="46">
                  <c:v>239.96</c:v>
                </c:pt>
                <c:pt idx="47">
                  <c:v>449.95</c:v>
                </c:pt>
                <c:pt idx="48">
                  <c:v>179.98</c:v>
                </c:pt>
                <c:pt idx="49">
                  <c:v>4499.95</c:v>
                </c:pt>
                <c:pt idx="50">
                  <c:v>4499.95</c:v>
                </c:pt>
                <c:pt idx="51">
                  <c:v>59.99</c:v>
                </c:pt>
                <c:pt idx="52">
                  <c:v>599.98</c:v>
                </c:pt>
                <c:pt idx="53">
                  <c:v>359.96</c:v>
                </c:pt>
                <c:pt idx="54">
                  <c:v>79.989999999999995</c:v>
                </c:pt>
                <c:pt idx="55">
                  <c:v>179.98</c:v>
                </c:pt>
                <c:pt idx="56">
                  <c:v>2099.9699999999998</c:v>
                </c:pt>
                <c:pt idx="57">
                  <c:v>3599.96</c:v>
                </c:pt>
                <c:pt idx="58">
                  <c:v>149.99</c:v>
                </c:pt>
                <c:pt idx="59">
                  <c:v>179.98</c:v>
                </c:pt>
                <c:pt idx="60">
                  <c:v>89.99</c:v>
                </c:pt>
                <c:pt idx="61">
                  <c:v>89.99</c:v>
                </c:pt>
                <c:pt idx="62">
                  <c:v>399.95</c:v>
                </c:pt>
                <c:pt idx="63">
                  <c:v>149.99</c:v>
                </c:pt>
                <c:pt idx="64">
                  <c:v>1399.98</c:v>
                </c:pt>
                <c:pt idx="65">
                  <c:v>449.95</c:v>
                </c:pt>
                <c:pt idx="66">
                  <c:v>239.96</c:v>
                </c:pt>
                <c:pt idx="67">
                  <c:v>149.99</c:v>
                </c:pt>
                <c:pt idx="68">
                  <c:v>299.99</c:v>
                </c:pt>
                <c:pt idx="69">
                  <c:v>399.98</c:v>
                </c:pt>
                <c:pt idx="70">
                  <c:v>179.97</c:v>
                </c:pt>
                <c:pt idx="71">
                  <c:v>449.97</c:v>
                </c:pt>
                <c:pt idx="72">
                  <c:v>599.97</c:v>
                </c:pt>
                <c:pt idx="73">
                  <c:v>899.99</c:v>
                </c:pt>
                <c:pt idx="74">
                  <c:v>4499.95</c:v>
                </c:pt>
                <c:pt idx="75">
                  <c:v>119.98</c:v>
                </c:pt>
                <c:pt idx="76">
                  <c:v>999.96</c:v>
                </c:pt>
                <c:pt idx="77">
                  <c:v>499.98</c:v>
                </c:pt>
                <c:pt idx="78">
                  <c:v>299.99</c:v>
                </c:pt>
                <c:pt idx="79">
                  <c:v>179.98</c:v>
                </c:pt>
                <c:pt idx="80">
                  <c:v>899.97</c:v>
                </c:pt>
                <c:pt idx="81">
                  <c:v>1399.98</c:v>
                </c:pt>
                <c:pt idx="82">
                  <c:v>3599.96</c:v>
                </c:pt>
                <c:pt idx="83">
                  <c:v>299.98</c:v>
                </c:pt>
                <c:pt idx="84">
                  <c:v>299.98</c:v>
                </c:pt>
                <c:pt idx="85">
                  <c:v>89.99</c:v>
                </c:pt>
                <c:pt idx="86">
                  <c:v>1499.95</c:v>
                </c:pt>
                <c:pt idx="87">
                  <c:v>599.96</c:v>
                </c:pt>
                <c:pt idx="88">
                  <c:v>1249.95</c:v>
                </c:pt>
                <c:pt idx="89">
                  <c:v>749.97</c:v>
                </c:pt>
                <c:pt idx="90">
                  <c:v>799.96</c:v>
                </c:pt>
                <c:pt idx="91">
                  <c:v>999.95</c:v>
                </c:pt>
                <c:pt idx="92">
                  <c:v>179.98</c:v>
                </c:pt>
                <c:pt idx="93">
                  <c:v>4499.95</c:v>
                </c:pt>
                <c:pt idx="94">
                  <c:v>449.97</c:v>
                </c:pt>
                <c:pt idx="95">
                  <c:v>749.95</c:v>
                </c:pt>
                <c:pt idx="96">
                  <c:v>239.97</c:v>
                </c:pt>
                <c:pt idx="97">
                  <c:v>499.98</c:v>
                </c:pt>
                <c:pt idx="98">
                  <c:v>699.99</c:v>
                </c:pt>
                <c:pt idx="99">
                  <c:v>449.97</c:v>
                </c:pt>
                <c:pt idx="100">
                  <c:v>1399.98</c:v>
                </c:pt>
                <c:pt idx="101">
                  <c:v>249.99</c:v>
                </c:pt>
                <c:pt idx="102">
                  <c:v>249.99</c:v>
                </c:pt>
                <c:pt idx="103">
                  <c:v>1399.98</c:v>
                </c:pt>
                <c:pt idx="104">
                  <c:v>179.97</c:v>
                </c:pt>
                <c:pt idx="105">
                  <c:v>179.97</c:v>
                </c:pt>
                <c:pt idx="106">
                  <c:v>319.95999999999998</c:v>
                </c:pt>
                <c:pt idx="107">
                  <c:v>79.989999999999995</c:v>
                </c:pt>
                <c:pt idx="108">
                  <c:v>899.97</c:v>
                </c:pt>
                <c:pt idx="109">
                  <c:v>179.98</c:v>
                </c:pt>
                <c:pt idx="110">
                  <c:v>599.96</c:v>
                </c:pt>
                <c:pt idx="111">
                  <c:v>499.98</c:v>
                </c:pt>
                <c:pt idx="112">
                  <c:v>799.96</c:v>
                </c:pt>
                <c:pt idx="113">
                  <c:v>449.95</c:v>
                </c:pt>
                <c:pt idx="114">
                  <c:v>149.99</c:v>
                </c:pt>
                <c:pt idx="115">
                  <c:v>2799.96</c:v>
                </c:pt>
                <c:pt idx="116">
                  <c:v>2699.97</c:v>
                </c:pt>
                <c:pt idx="117">
                  <c:v>449.97</c:v>
                </c:pt>
                <c:pt idx="118">
                  <c:v>599.98</c:v>
                </c:pt>
                <c:pt idx="119">
                  <c:v>199.99</c:v>
                </c:pt>
                <c:pt idx="120">
                  <c:v>1199.96</c:v>
                </c:pt>
                <c:pt idx="121">
                  <c:v>119.98</c:v>
                </c:pt>
                <c:pt idx="122">
                  <c:v>599.96</c:v>
                </c:pt>
                <c:pt idx="123">
                  <c:v>1399.98</c:v>
                </c:pt>
                <c:pt idx="124">
                  <c:v>449.97</c:v>
                </c:pt>
                <c:pt idx="125">
                  <c:v>899.97</c:v>
                </c:pt>
                <c:pt idx="126">
                  <c:v>2699.97</c:v>
                </c:pt>
                <c:pt idx="127">
                  <c:v>3499.95</c:v>
                </c:pt>
                <c:pt idx="128">
                  <c:v>2799.96</c:v>
                </c:pt>
                <c:pt idx="129">
                  <c:v>899.99</c:v>
                </c:pt>
                <c:pt idx="130">
                  <c:v>299.98</c:v>
                </c:pt>
                <c:pt idx="131">
                  <c:v>269.97000000000003</c:v>
                </c:pt>
                <c:pt idx="132">
                  <c:v>299.98</c:v>
                </c:pt>
                <c:pt idx="133">
                  <c:v>1399.98</c:v>
                </c:pt>
                <c:pt idx="134">
                  <c:v>3499.95</c:v>
                </c:pt>
                <c:pt idx="135">
                  <c:v>269.97000000000003</c:v>
                </c:pt>
                <c:pt idx="136">
                  <c:v>1249.95</c:v>
                </c:pt>
                <c:pt idx="137">
                  <c:v>899.97</c:v>
                </c:pt>
                <c:pt idx="138">
                  <c:v>269.97000000000003</c:v>
                </c:pt>
                <c:pt idx="139">
                  <c:v>299.98</c:v>
                </c:pt>
                <c:pt idx="140">
                  <c:v>249.99</c:v>
                </c:pt>
                <c:pt idx="141">
                  <c:v>449.97</c:v>
                </c:pt>
                <c:pt idx="142">
                  <c:v>299.95</c:v>
                </c:pt>
                <c:pt idx="143">
                  <c:v>999.96</c:v>
                </c:pt>
                <c:pt idx="144">
                  <c:v>749.95</c:v>
                </c:pt>
                <c:pt idx="145">
                  <c:v>179.97</c:v>
                </c:pt>
                <c:pt idx="146">
                  <c:v>749.95</c:v>
                </c:pt>
                <c:pt idx="147">
                  <c:v>1399.98</c:v>
                </c:pt>
                <c:pt idx="148">
                  <c:v>799.96</c:v>
                </c:pt>
                <c:pt idx="149">
                  <c:v>59.99</c:v>
                </c:pt>
                <c:pt idx="150">
                  <c:v>2099.9699999999998</c:v>
                </c:pt>
                <c:pt idx="151">
                  <c:v>1249.95</c:v>
                </c:pt>
                <c:pt idx="152">
                  <c:v>299.98</c:v>
                </c:pt>
                <c:pt idx="153">
                  <c:v>899.97</c:v>
                </c:pt>
                <c:pt idx="154">
                  <c:v>1249.95</c:v>
                </c:pt>
                <c:pt idx="155">
                  <c:v>299.98</c:v>
                </c:pt>
                <c:pt idx="156">
                  <c:v>3499.95</c:v>
                </c:pt>
                <c:pt idx="157">
                  <c:v>999.96</c:v>
                </c:pt>
                <c:pt idx="158">
                  <c:v>2799.96</c:v>
                </c:pt>
                <c:pt idx="159">
                  <c:v>499.98</c:v>
                </c:pt>
                <c:pt idx="160">
                  <c:v>179.97</c:v>
                </c:pt>
                <c:pt idx="161">
                  <c:v>319.95999999999998</c:v>
                </c:pt>
                <c:pt idx="162">
                  <c:v>239.97</c:v>
                </c:pt>
                <c:pt idx="163">
                  <c:v>1799.98</c:v>
                </c:pt>
                <c:pt idx="164">
                  <c:v>149.99</c:v>
                </c:pt>
                <c:pt idx="165">
                  <c:v>599.98</c:v>
                </c:pt>
                <c:pt idx="166">
                  <c:v>119.98</c:v>
                </c:pt>
                <c:pt idx="167">
                  <c:v>89.99</c:v>
                </c:pt>
                <c:pt idx="168">
                  <c:v>4499.95</c:v>
                </c:pt>
                <c:pt idx="169">
                  <c:v>299.98</c:v>
                </c:pt>
                <c:pt idx="170">
                  <c:v>299.98</c:v>
                </c:pt>
                <c:pt idx="171">
                  <c:v>449.97</c:v>
                </c:pt>
                <c:pt idx="172">
                  <c:v>599.98</c:v>
                </c:pt>
                <c:pt idx="173">
                  <c:v>599.98</c:v>
                </c:pt>
                <c:pt idx="174">
                  <c:v>799.96</c:v>
                </c:pt>
                <c:pt idx="175">
                  <c:v>89.99</c:v>
                </c:pt>
                <c:pt idx="176">
                  <c:v>749.95</c:v>
                </c:pt>
                <c:pt idx="177">
                  <c:v>899.99</c:v>
                </c:pt>
                <c:pt idx="178">
                  <c:v>179.98</c:v>
                </c:pt>
                <c:pt idx="179">
                  <c:v>899.99</c:v>
                </c:pt>
                <c:pt idx="180">
                  <c:v>749.95</c:v>
                </c:pt>
                <c:pt idx="181">
                  <c:v>899.97</c:v>
                </c:pt>
                <c:pt idx="182">
                  <c:v>2099.9699999999998</c:v>
                </c:pt>
                <c:pt idx="183">
                  <c:v>999.95</c:v>
                </c:pt>
                <c:pt idx="184">
                  <c:v>1249.95</c:v>
                </c:pt>
                <c:pt idx="185">
                  <c:v>599.96</c:v>
                </c:pt>
                <c:pt idx="186">
                  <c:v>2099.9699999999998</c:v>
                </c:pt>
                <c:pt idx="187">
                  <c:v>79.989999999999995</c:v>
                </c:pt>
                <c:pt idx="188">
                  <c:v>299.99</c:v>
                </c:pt>
                <c:pt idx="189">
                  <c:v>999.96</c:v>
                </c:pt>
                <c:pt idx="190">
                  <c:v>299.98</c:v>
                </c:pt>
                <c:pt idx="191">
                  <c:v>899.97</c:v>
                </c:pt>
                <c:pt idx="192">
                  <c:v>799.96</c:v>
                </c:pt>
                <c:pt idx="193">
                  <c:v>1499.95</c:v>
                </c:pt>
                <c:pt idx="194">
                  <c:v>449.97</c:v>
                </c:pt>
                <c:pt idx="195">
                  <c:v>299.95</c:v>
                </c:pt>
                <c:pt idx="196">
                  <c:v>239.96</c:v>
                </c:pt>
                <c:pt idx="197">
                  <c:v>999.96</c:v>
                </c:pt>
                <c:pt idx="198">
                  <c:v>3599.96</c:v>
                </c:pt>
                <c:pt idx="199">
                  <c:v>899.97</c:v>
                </c:pt>
                <c:pt idx="200">
                  <c:v>1399.98</c:v>
                </c:pt>
                <c:pt idx="201">
                  <c:v>2799.96</c:v>
                </c:pt>
                <c:pt idx="202">
                  <c:v>179.98</c:v>
                </c:pt>
                <c:pt idx="203">
                  <c:v>269.97000000000003</c:v>
                </c:pt>
                <c:pt idx="204">
                  <c:v>59.99</c:v>
                </c:pt>
                <c:pt idx="205">
                  <c:v>449.97</c:v>
                </c:pt>
                <c:pt idx="206">
                  <c:v>1499.95</c:v>
                </c:pt>
                <c:pt idx="207">
                  <c:v>299.95</c:v>
                </c:pt>
                <c:pt idx="208">
                  <c:v>239.97</c:v>
                </c:pt>
                <c:pt idx="209">
                  <c:v>599.97</c:v>
                </c:pt>
                <c:pt idx="210">
                  <c:v>179.98</c:v>
                </c:pt>
                <c:pt idx="211">
                  <c:v>299.98</c:v>
                </c:pt>
                <c:pt idx="212">
                  <c:v>3499.95</c:v>
                </c:pt>
                <c:pt idx="213">
                  <c:v>449.97</c:v>
                </c:pt>
                <c:pt idx="214">
                  <c:v>2699.97</c:v>
                </c:pt>
                <c:pt idx="215">
                  <c:v>599.97</c:v>
                </c:pt>
                <c:pt idx="216">
                  <c:v>1499.95</c:v>
                </c:pt>
                <c:pt idx="217">
                  <c:v>699.99</c:v>
                </c:pt>
                <c:pt idx="218">
                  <c:v>699.99</c:v>
                </c:pt>
                <c:pt idx="219">
                  <c:v>599.96</c:v>
                </c:pt>
                <c:pt idx="220">
                  <c:v>449.95</c:v>
                </c:pt>
                <c:pt idx="221">
                  <c:v>399.98</c:v>
                </c:pt>
                <c:pt idx="222">
                  <c:v>239.96</c:v>
                </c:pt>
                <c:pt idx="223">
                  <c:v>599.98</c:v>
                </c:pt>
                <c:pt idx="224">
                  <c:v>299.98</c:v>
                </c:pt>
                <c:pt idx="225">
                  <c:v>3499.95</c:v>
                </c:pt>
                <c:pt idx="226">
                  <c:v>299.95</c:v>
                </c:pt>
                <c:pt idx="227">
                  <c:v>179.98</c:v>
                </c:pt>
                <c:pt idx="228">
                  <c:v>1249.95</c:v>
                </c:pt>
                <c:pt idx="229">
                  <c:v>299.98</c:v>
                </c:pt>
                <c:pt idx="230">
                  <c:v>4499.95</c:v>
                </c:pt>
                <c:pt idx="231">
                  <c:v>599.96</c:v>
                </c:pt>
                <c:pt idx="232">
                  <c:v>249.99</c:v>
                </c:pt>
                <c:pt idx="233">
                  <c:v>119.98</c:v>
                </c:pt>
                <c:pt idx="234">
                  <c:v>299.98</c:v>
                </c:pt>
                <c:pt idx="235">
                  <c:v>2699.97</c:v>
                </c:pt>
                <c:pt idx="236">
                  <c:v>2699.97</c:v>
                </c:pt>
                <c:pt idx="237">
                  <c:v>899.97</c:v>
                </c:pt>
                <c:pt idx="238">
                  <c:v>599.96</c:v>
                </c:pt>
                <c:pt idx="239">
                  <c:v>319.95999999999998</c:v>
                </c:pt>
                <c:pt idx="240">
                  <c:v>449.95</c:v>
                </c:pt>
                <c:pt idx="241">
                  <c:v>449.97</c:v>
                </c:pt>
                <c:pt idx="242">
                  <c:v>179.98</c:v>
                </c:pt>
                <c:pt idx="243">
                  <c:v>1399.98</c:v>
                </c:pt>
                <c:pt idx="244">
                  <c:v>2699.97</c:v>
                </c:pt>
                <c:pt idx="245">
                  <c:v>239.97</c:v>
                </c:pt>
                <c:pt idx="246">
                  <c:v>89.99</c:v>
                </c:pt>
                <c:pt idx="247">
                  <c:v>2099.9699999999998</c:v>
                </c:pt>
                <c:pt idx="248">
                  <c:v>179.98</c:v>
                </c:pt>
                <c:pt idx="249">
                  <c:v>269.97000000000003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9C-477F-822A-8759A269C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07014"/>
        <c:axId val="72152649"/>
      </c:scatterChart>
      <c:valAx>
        <c:axId val="48807014"/>
        <c:scaling>
          <c:orientation val="minMax"/>
          <c:max val="6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solidFill>
                      <a:srgbClr val="7F7F7F"/>
                    </a:solidFill>
                    <a:latin typeface="Arial"/>
                  </a:defRPr>
                </a:pPr>
                <a:r>
                  <a:rPr lang="en-IN" sz="900" b="0" strike="noStrike" spc="-1">
                    <a:solidFill>
                      <a:srgbClr val="7F7F7F"/>
                    </a:solidFill>
                    <a:latin typeface="Arial"/>
                  </a:rPr>
                  <a:t>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72152649"/>
        <c:crosses val="autoZero"/>
        <c:crossBetween val="midCat"/>
        <c:majorUnit val="1"/>
      </c:valAx>
      <c:valAx>
        <c:axId val="72152649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solidFill>
                      <a:srgbClr val="7F7F7F"/>
                    </a:solidFill>
                    <a:latin typeface="Arial"/>
                  </a:defRPr>
                </a:pPr>
                <a:r>
                  <a:rPr lang="en-IN" sz="900" b="0" strike="noStrike" spc="-1">
                    <a:solidFill>
                      <a:srgbClr val="7F7F7F"/>
                    </a:solidFill>
                    <a:latin typeface="Arial"/>
                  </a:rPr>
                  <a:t>Total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4880701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200" b="1" strike="noStrike" spc="-1">
                <a:solidFill>
                  <a:srgbClr val="1F3864"/>
                </a:solidFill>
                <a:latin typeface="Arial"/>
              </a:rPr>
              <a:t>Revenue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'What-If'!$B$20:$D$20</c:f>
              <c:strCache>
                <c:ptCount val="3"/>
                <c:pt idx="0">
                  <c:v>Base</c:v>
                </c:pt>
                <c:pt idx="1">
                  <c:v>Optimistic</c:v>
                </c:pt>
                <c:pt idx="2">
                  <c:v>Pessimistic</c:v>
                </c:pt>
              </c:strCache>
            </c:strRef>
          </c:cat>
          <c:val>
            <c:numRef>
              <c:f>'What-If'!$B$21:$D$21</c:f>
              <c:numCache>
                <c:formatCode>\$#,##0</c:formatCode>
                <c:ptCount val="3"/>
                <c:pt idx="0">
                  <c:v>229192.47000000032</c:v>
                </c:pt>
                <c:pt idx="1">
                  <c:v>256775.78376450037</c:v>
                </c:pt>
                <c:pt idx="2">
                  <c:v>189771.36516000028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6-4BEC-85BC-85561D4E9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0493886"/>
        <c:axId val="80936649"/>
      </c:barChart>
      <c:catAx>
        <c:axId val="904938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80936649"/>
        <c:crosses val="autoZero"/>
        <c:auto val="1"/>
        <c:lblAlgn val="ctr"/>
        <c:lblOffset val="100"/>
        <c:noMultiLvlLbl val="0"/>
      </c:catAx>
      <c:valAx>
        <c:axId val="80936649"/>
        <c:scaling>
          <c:orientation val="minMax"/>
        </c:scaling>
        <c:delete val="0"/>
        <c:axPos val="l"/>
        <c:majorGridlines>
          <c:spPr>
            <a:ln w="6480">
              <a:solidFill>
                <a:srgbClr val="E7E6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904938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6</xdr:col>
      <xdr:colOff>681480</xdr:colOff>
      <xdr:row>29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12</xdr:col>
      <xdr:colOff>681120</xdr:colOff>
      <xdr:row>29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6</xdr:col>
      <xdr:colOff>681480</xdr:colOff>
      <xdr:row>46</xdr:row>
      <xdr:rowOff>21600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12</xdr:col>
      <xdr:colOff>681120</xdr:colOff>
      <xdr:row>46</xdr:row>
      <xdr:rowOff>21600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10</xdr:col>
      <xdr:colOff>536760</xdr:colOff>
      <xdr:row>25</xdr:row>
      <xdr:rowOff>47880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0</xdr:rowOff>
    </xdr:from>
    <xdr:to>
      <xdr:col>20</xdr:col>
      <xdr:colOff>536760</xdr:colOff>
      <xdr:row>25</xdr:row>
      <xdr:rowOff>47880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536760</xdr:colOff>
      <xdr:row>43</xdr:row>
      <xdr:rowOff>47880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27</xdr:row>
      <xdr:rowOff>0</xdr:rowOff>
    </xdr:from>
    <xdr:to>
      <xdr:col>20</xdr:col>
      <xdr:colOff>536760</xdr:colOff>
      <xdr:row>43</xdr:row>
      <xdr:rowOff>47880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10</xdr:col>
      <xdr:colOff>536760</xdr:colOff>
      <xdr:row>62</xdr:row>
      <xdr:rowOff>47520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46</xdr:row>
      <xdr:rowOff>0</xdr:rowOff>
    </xdr:from>
    <xdr:to>
      <xdr:col>20</xdr:col>
      <xdr:colOff>536760</xdr:colOff>
      <xdr:row>62</xdr:row>
      <xdr:rowOff>47520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64</xdr:row>
      <xdr:rowOff>0</xdr:rowOff>
    </xdr:from>
    <xdr:to>
      <xdr:col>10</xdr:col>
      <xdr:colOff>536760</xdr:colOff>
      <xdr:row>80</xdr:row>
      <xdr:rowOff>47520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64</xdr:row>
      <xdr:rowOff>0</xdr:rowOff>
    </xdr:from>
    <xdr:to>
      <xdr:col>20</xdr:col>
      <xdr:colOff>536760</xdr:colOff>
      <xdr:row>80</xdr:row>
      <xdr:rowOff>47520</xdr:rowOff>
    </xdr:to>
    <xdr:graphicFrame macro="">
      <xdr:nvGraphicFramePr>
        <xdr:cNvPr id="11" name="Chart 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10</xdr:col>
      <xdr:colOff>536760</xdr:colOff>
      <xdr:row>99</xdr:row>
      <xdr:rowOff>47520</xdr:rowOff>
    </xdr:to>
    <xdr:graphicFrame macro="">
      <xdr:nvGraphicFramePr>
        <xdr:cNvPr id="12" name="Chart 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0</xdr:colOff>
      <xdr:row>83</xdr:row>
      <xdr:rowOff>0</xdr:rowOff>
    </xdr:from>
    <xdr:to>
      <xdr:col>20</xdr:col>
      <xdr:colOff>536760</xdr:colOff>
      <xdr:row>99</xdr:row>
      <xdr:rowOff>47520</xdr:rowOff>
    </xdr:to>
    <xdr:graphicFrame macro="">
      <xdr:nvGraphicFramePr>
        <xdr:cNvPr id="13" name="Chart 1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0</xdr:colOff>
      <xdr:row>101</xdr:row>
      <xdr:rowOff>0</xdr:rowOff>
    </xdr:from>
    <xdr:to>
      <xdr:col>10</xdr:col>
      <xdr:colOff>536760</xdr:colOff>
      <xdr:row>117</xdr:row>
      <xdr:rowOff>47520</xdr:rowOff>
    </xdr:to>
    <xdr:graphicFrame macro="">
      <xdr:nvGraphicFramePr>
        <xdr:cNvPr id="14" name="Chart 1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11</xdr:col>
      <xdr:colOff>0</xdr:colOff>
      <xdr:row>101</xdr:row>
      <xdr:rowOff>0</xdr:rowOff>
    </xdr:from>
    <xdr:to>
      <xdr:col>20</xdr:col>
      <xdr:colOff>536760</xdr:colOff>
      <xdr:row>117</xdr:row>
      <xdr:rowOff>47520</xdr:rowOff>
    </xdr:to>
    <xdr:graphicFrame macro="">
      <xdr:nvGraphicFramePr>
        <xdr:cNvPr id="15" name="Chart 1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120</xdr:row>
      <xdr:rowOff>0</xdr:rowOff>
    </xdr:from>
    <xdr:to>
      <xdr:col>10</xdr:col>
      <xdr:colOff>536760</xdr:colOff>
      <xdr:row>136</xdr:row>
      <xdr:rowOff>47880</xdr:rowOff>
    </xdr:to>
    <xdr:graphicFrame macro="">
      <xdr:nvGraphicFramePr>
        <xdr:cNvPr id="16" name="Chart 1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11</xdr:col>
      <xdr:colOff>0</xdr:colOff>
      <xdr:row>120</xdr:row>
      <xdr:rowOff>0</xdr:rowOff>
    </xdr:from>
    <xdr:to>
      <xdr:col>20</xdr:col>
      <xdr:colOff>536760</xdr:colOff>
      <xdr:row>136</xdr:row>
      <xdr:rowOff>47880</xdr:rowOff>
    </xdr:to>
    <xdr:graphicFrame macro="">
      <xdr:nvGraphicFramePr>
        <xdr:cNvPr id="17" name="Chart 1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10</xdr:col>
      <xdr:colOff>536760</xdr:colOff>
      <xdr:row>154</xdr:row>
      <xdr:rowOff>47880</xdr:rowOff>
    </xdr:to>
    <xdr:graphicFrame macro="">
      <xdr:nvGraphicFramePr>
        <xdr:cNvPr id="18" name="Chart 1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11</xdr:col>
      <xdr:colOff>0</xdr:colOff>
      <xdr:row>138</xdr:row>
      <xdr:rowOff>0</xdr:rowOff>
    </xdr:from>
    <xdr:to>
      <xdr:col>20</xdr:col>
      <xdr:colOff>536760</xdr:colOff>
      <xdr:row>154</xdr:row>
      <xdr:rowOff>47880</xdr:rowOff>
    </xdr:to>
    <xdr:graphicFrame macro="">
      <xdr:nvGraphicFramePr>
        <xdr:cNvPr id="19" name="Chart 16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131040</xdr:rowOff>
    </xdr:from>
    <xdr:to>
      <xdr:col>9</xdr:col>
      <xdr:colOff>435600</xdr:colOff>
      <xdr:row>17</xdr:row>
      <xdr:rowOff>152640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131040</xdr:rowOff>
    </xdr:from>
    <xdr:to>
      <xdr:col>19</xdr:col>
      <xdr:colOff>435600</xdr:colOff>
      <xdr:row>17</xdr:row>
      <xdr:rowOff>152640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131040</xdr:rowOff>
    </xdr:from>
    <xdr:to>
      <xdr:col>9</xdr:col>
      <xdr:colOff>435600</xdr:colOff>
      <xdr:row>35</xdr:row>
      <xdr:rowOff>152640</xdr:rowOff>
    </xdr:to>
    <xdr:graphicFrame macro="">
      <xdr:nvGraphicFramePr>
        <xdr:cNvPr id="22" name="Chart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20</xdr:row>
      <xdr:rowOff>131040</xdr:rowOff>
    </xdr:from>
    <xdr:to>
      <xdr:col>19</xdr:col>
      <xdr:colOff>435600</xdr:colOff>
      <xdr:row>35</xdr:row>
      <xdr:rowOff>152640</xdr:rowOff>
    </xdr:to>
    <xdr:graphicFrame macro="">
      <xdr:nvGraphicFramePr>
        <xdr:cNvPr id="23" name="Chart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131040</xdr:rowOff>
    </xdr:from>
    <xdr:to>
      <xdr:col>9</xdr:col>
      <xdr:colOff>435600</xdr:colOff>
      <xdr:row>53</xdr:row>
      <xdr:rowOff>152640</xdr:rowOff>
    </xdr:to>
    <xdr:graphicFrame macro="">
      <xdr:nvGraphicFramePr>
        <xdr:cNvPr id="24" name="Chart 5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38</xdr:row>
      <xdr:rowOff>131040</xdr:rowOff>
    </xdr:from>
    <xdr:to>
      <xdr:col>19</xdr:col>
      <xdr:colOff>435600</xdr:colOff>
      <xdr:row>53</xdr:row>
      <xdr:rowOff>152640</xdr:rowOff>
    </xdr:to>
    <xdr:graphicFrame macro="">
      <xdr:nvGraphicFramePr>
        <xdr:cNvPr id="25" name="Chart 6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56</xdr:row>
      <xdr:rowOff>131040</xdr:rowOff>
    </xdr:from>
    <xdr:to>
      <xdr:col>9</xdr:col>
      <xdr:colOff>435600</xdr:colOff>
      <xdr:row>71</xdr:row>
      <xdr:rowOff>152640</xdr:rowOff>
    </xdr:to>
    <xdr:graphicFrame macro="">
      <xdr:nvGraphicFramePr>
        <xdr:cNvPr id="26" name="Chart 7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56</xdr:row>
      <xdr:rowOff>131040</xdr:rowOff>
    </xdr:from>
    <xdr:to>
      <xdr:col>19</xdr:col>
      <xdr:colOff>435600</xdr:colOff>
      <xdr:row>71</xdr:row>
      <xdr:rowOff>152640</xdr:rowOff>
    </xdr:to>
    <xdr:graphicFrame macro="">
      <xdr:nvGraphicFramePr>
        <xdr:cNvPr id="27" name="Chart 8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0</xdr:colOff>
      <xdr:row>56</xdr:row>
      <xdr:rowOff>0</xdr:rowOff>
    </xdr:from>
    <xdr:to>
      <xdr:col>18</xdr:col>
      <xdr:colOff>610200</xdr:colOff>
      <xdr:row>70</xdr:row>
      <xdr:rowOff>161640</xdr:rowOff>
    </xdr:to>
    <xdr:graphicFrame macro="">
      <xdr:nvGraphicFramePr>
        <xdr:cNvPr id="28" name="Chart 9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131040</xdr:rowOff>
    </xdr:from>
    <xdr:to>
      <xdr:col>13</xdr:col>
      <xdr:colOff>398880</xdr:colOff>
      <xdr:row>23</xdr:row>
      <xdr:rowOff>1080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../../../../../Downloads/Data_Intelligence_Dashboard_Pro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P77"/>
  <sheetViews>
    <sheetView showGridLines="0" zoomScaleNormal="100" workbookViewId="0">
      <pane ySplit="3" topLeftCell="A61" activePane="bottomLeft" state="frozen"/>
      <selection pane="bottomLeft" activeCell="C3" sqref="C3"/>
    </sheetView>
  </sheetViews>
  <sheetFormatPr defaultColWidth="8.6640625" defaultRowHeight="13.2" x14ac:dyDescent="0.25"/>
  <cols>
    <col min="1" max="1" width="2" customWidth="1"/>
    <col min="2" max="13" width="14" customWidth="1"/>
    <col min="14" max="14" width="2" customWidth="1"/>
    <col min="15" max="18" width="12" customWidth="1"/>
  </cols>
  <sheetData>
    <row r="1" spans="1:16" ht="33.75" customHeight="1" x14ac:dyDescent="0.4">
      <c r="A1" s="15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16" ht="14.25" customHeight="1" x14ac:dyDescent="0.3">
      <c r="A2" s="15"/>
      <c r="B2" s="13" t="str">
        <f ca="1">"Dataset: "&amp;TEXT(MIN('Raw Data'!$B$2:$B$251),"dd-mmm-yyyy")&amp;" to "&amp;TEXT(MAX('Raw Data'!$B$2:$B$251),"dd-mmm-yyyy")&amp;"   |   Refreshed: "&amp;TEXT(NOW(),"dd-mmm-yyyy hh:mm")</f>
        <v>Dataset: 11-Apr-2024 to 11-Apr-2025   |   Refreshed: 15-Oct-2026 11:10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5"/>
      <c r="O2" s="16" t="s">
        <v>1</v>
      </c>
    </row>
    <row r="3" spans="1:16" ht="21.75" customHeight="1" x14ac:dyDescent="0.25">
      <c r="B3" s="17" t="s">
        <v>2</v>
      </c>
      <c r="C3" s="18" t="s">
        <v>3</v>
      </c>
      <c r="D3" s="17" t="s">
        <v>4</v>
      </c>
      <c r="E3" s="18" t="s">
        <v>3</v>
      </c>
      <c r="F3" s="17" t="s">
        <v>5</v>
      </c>
      <c r="G3" s="19">
        <v>45393</v>
      </c>
      <c r="H3" s="17" t="s">
        <v>6</v>
      </c>
      <c r="I3" s="19">
        <v>45758</v>
      </c>
      <c r="J3" s="12"/>
      <c r="K3" s="12"/>
      <c r="L3" s="12"/>
      <c r="M3" s="12"/>
      <c r="O3" s="20" t="str">
        <f>IF(C3="All","*",C3)</f>
        <v>*</v>
      </c>
      <c r="P3" s="20" t="str">
        <f>IF(E3="All","*",E3)</f>
        <v>*</v>
      </c>
    </row>
    <row r="4" spans="1:16" ht="7.5" customHeight="1" x14ac:dyDescent="0.25"/>
    <row r="5" spans="1:16" ht="16.5" customHeight="1" x14ac:dyDescent="0.25">
      <c r="B5" s="11" t="s">
        <v>7</v>
      </c>
      <c r="C5" s="11"/>
      <c r="D5" s="11" t="s">
        <v>8</v>
      </c>
      <c r="E5" s="11"/>
      <c r="F5" s="11" t="s">
        <v>9</v>
      </c>
      <c r="G5" s="11"/>
      <c r="H5" s="11" t="s">
        <v>10</v>
      </c>
      <c r="I5" s="11"/>
      <c r="J5" s="11" t="s">
        <v>11</v>
      </c>
      <c r="K5" s="11"/>
      <c r="L5" s="11" t="s">
        <v>12</v>
      </c>
      <c r="M5" s="11"/>
    </row>
    <row r="6" spans="1:16" ht="21.75" customHeight="1" x14ac:dyDescent="0.25">
      <c r="B6" s="10">
        <f>SUMIFS('Raw Data'!$N$2:$N$251,'Raw Data'!$K$2:$K$251,$O$3,'Raw Data'!$G$2:$G$251,$P$3,'Raw Data'!$B$2:$B$251,"&gt;="&amp;$G$3,'Raw Data'!$B$2:$B$251,"&lt;="&amp;$I$3)</f>
        <v>229192.47000000032</v>
      </c>
      <c r="C6" s="10"/>
      <c r="D6" s="9">
        <f>COUNTIFS('Raw Data'!$K$2:$K$251,$O$3,'Raw Data'!$G$2:$G$251,$P$3,'Raw Data'!$B$2:$B$251,"&gt;="&amp;$G$3,'Raw Data'!$B$2:$B$251,"&lt;="&amp;$I$3)</f>
        <v>250</v>
      </c>
      <c r="E6" s="9"/>
      <c r="F6" s="9">
        <f>SUMIFS('Raw Data'!$H$2:$H$251,'Raw Data'!$K$2:$K$251,$O$3,'Raw Data'!$G$2:$G$251,$P$3,'Raw Data'!$B$2:$B$251,"&gt;="&amp;$G$3,'Raw Data'!$B$2:$B$251,"&lt;="&amp;$I$3)</f>
        <v>753</v>
      </c>
      <c r="G6" s="9"/>
      <c r="H6" s="8">
        <f>IFERROR(B6/D6,0)</f>
        <v>916.76988000000131</v>
      </c>
      <c r="I6" s="8"/>
      <c r="J6" s="9">
        <f>SUMPRODUCT(--(COUNTIFS('Raw Data'!$C$2:$C$251,'Customer Analysis'!$A$23:$A$72,'Raw Data'!$K$2:$K$251,$O$3,'Raw Data'!$G$2:$G$251,$P$3,'Raw Data'!$B$2:$B$251,"&gt;="&amp;$G$3,'Raw Data'!$B$2:$B$251,"&lt;="&amp;$I$3)&gt;0))</f>
        <v>50</v>
      </c>
      <c r="K6" s="9"/>
      <c r="L6" s="7">
        <f>IFERROR(D6/J6,0)</f>
        <v>5</v>
      </c>
      <c r="M6" s="7"/>
    </row>
    <row r="7" spans="1:16" ht="16.5" customHeight="1" x14ac:dyDescent="0.25">
      <c r="B7" s="10"/>
      <c r="C7" s="10"/>
      <c r="D7" s="9"/>
      <c r="E7" s="9"/>
      <c r="F7" s="9"/>
      <c r="G7" s="9"/>
      <c r="H7" s="8"/>
      <c r="I7" s="8"/>
      <c r="J7" s="9"/>
      <c r="K7" s="9"/>
      <c r="L7" s="7"/>
      <c r="M7" s="7"/>
    </row>
    <row r="8" spans="1:16" ht="16.5" customHeight="1" x14ac:dyDescent="0.25">
      <c r="B8" s="6" t="str">
        <f>"Share of all sales: "&amp;TEXT(IFERROR(B6/SUM('Raw Data'!$N$2:$N$251),0),"0.0%")</f>
        <v>Share of all sales: 100.0%</v>
      </c>
      <c r="C8" s="6"/>
      <c r="D8" s="6" t="str">
        <f>"Revenue per order "&amp;TEXT(IFERROR(B6/D6,0),"$#,##0")</f>
        <v>Revenue per order $917</v>
      </c>
      <c r="E8" s="6"/>
      <c r="F8" s="6" t="str">
        <f>"Avg "&amp;TEXT(IFERROR(F6/D6,0),"0.0")&amp;" units per order"</f>
        <v>Avg 3.0 units per order</v>
      </c>
      <c r="G8" s="6"/>
      <c r="H8" s="6" t="s">
        <v>13</v>
      </c>
      <c r="I8" s="6"/>
      <c r="J8" s="6" t="str">
        <f>"of "&amp;COUNTA('Customer Analysis'!$A$23:$A$72)&amp;" total customers"</f>
        <v>of 50 total customers</v>
      </c>
      <c r="K8" s="6"/>
      <c r="L8" s="6" t="s">
        <v>14</v>
      </c>
      <c r="M8" s="6"/>
    </row>
    <row r="9" spans="1:16" ht="7.5" customHeight="1" x14ac:dyDescent="0.25"/>
    <row r="10" spans="1:16" ht="16.5" customHeight="1" x14ac:dyDescent="0.25">
      <c r="B10" s="11" t="s">
        <v>15</v>
      </c>
      <c r="C10" s="11"/>
      <c r="D10" s="11" t="s">
        <v>16</v>
      </c>
      <c r="E10" s="11"/>
      <c r="F10" s="11" t="s">
        <v>17</v>
      </c>
      <c r="G10" s="11"/>
      <c r="H10" s="11" t="s">
        <v>18</v>
      </c>
      <c r="I10" s="11"/>
      <c r="J10" s="11" t="s">
        <v>19</v>
      </c>
      <c r="K10" s="11"/>
      <c r="L10" s="11" t="s">
        <v>20</v>
      </c>
      <c r="M10" s="11"/>
    </row>
    <row r="11" spans="1:16" ht="21.75" customHeight="1" x14ac:dyDescent="0.25">
      <c r="B11" s="5">
        <f>IFERROR(H6/(SUM('Raw Data'!$N$2:$N$251)/COUNTA('Raw Data'!$A$2:$A$251))-1,0)</f>
        <v>0</v>
      </c>
      <c r="C11" s="5"/>
      <c r="D11" s="5">
        <f>'Sales Analysis'!F71</f>
        <v>0.23834149170658736</v>
      </c>
      <c r="E11" s="5"/>
      <c r="F11" s="4">
        <f>'Customer Analysis'!H4</f>
        <v>0.94</v>
      </c>
      <c r="G11" s="4"/>
      <c r="H11" s="3" t="str">
        <f>INDEX(B65:B69,MATCH(MAX(C65:C69),C65:C69,0))</f>
        <v>East</v>
      </c>
      <c r="I11" s="3"/>
      <c r="J11" s="3" t="str">
        <f>INDEX(L65:L74,MATCH(MAX(M65:M74),M65:M74,0))</f>
        <v>Laptop</v>
      </c>
      <c r="K11" s="3"/>
      <c r="L11" s="3" t="str">
        <f>'Customer Analysis'!C9</f>
        <v>Mark Carter</v>
      </c>
      <c r="M11" s="3"/>
    </row>
    <row r="12" spans="1:16" ht="16.5" customHeight="1" x14ac:dyDescent="0.25">
      <c r="B12" s="5"/>
      <c r="C12" s="5"/>
      <c r="D12" s="5"/>
      <c r="E12" s="5"/>
      <c r="F12" s="4"/>
      <c r="G12" s="4"/>
      <c r="H12" s="3"/>
      <c r="I12" s="3"/>
      <c r="J12" s="3"/>
      <c r="K12" s="3"/>
      <c r="L12" s="3"/>
      <c r="M12" s="3"/>
    </row>
    <row r="13" spans="1:16" ht="16.5" customHeight="1" x14ac:dyDescent="0.25">
      <c r="B13" s="6" t="s">
        <v>21</v>
      </c>
      <c r="C13" s="6"/>
      <c r="D13" s="6" t="str">
        <f>TEXT('Sales Analysis'!A71,"mmm yyyy")&amp;" vs "&amp;TEXT('Sales Analysis'!A70,"mmm yyyy")</f>
        <v>Mar 2025 vs Feb 2025</v>
      </c>
      <c r="E13" s="6"/>
      <c r="F13" s="6" t="s">
        <v>22</v>
      </c>
      <c r="G13" s="6"/>
      <c r="H13" s="6" t="str">
        <f>TEXT(MAX(C65:C69),"$#,##0")&amp;" revenue"</f>
        <v>$59,288 revenue</v>
      </c>
      <c r="I13" s="6"/>
      <c r="J13" s="6" t="str">
        <f>TEXT(MAX(M65:M74),"$#,##0")&amp;" revenue"</f>
        <v>$67,499 revenue</v>
      </c>
      <c r="K13" s="6"/>
      <c r="L13" s="6" t="str">
        <f>TEXT('Customer Analysis'!D9,"$#,##0")&amp;" revenue"</f>
        <v>$15,660 revenue</v>
      </c>
      <c r="M13" s="6"/>
    </row>
    <row r="49" spans="2:13" ht="15" customHeight="1" x14ac:dyDescent="0.3">
      <c r="B49" s="21" t="s">
        <v>23</v>
      </c>
      <c r="I49" s="21" t="s">
        <v>24</v>
      </c>
    </row>
    <row r="50" spans="2:13" ht="30" customHeight="1" x14ac:dyDescent="0.25">
      <c r="B50" s="22" t="s">
        <v>25</v>
      </c>
      <c r="C50" s="2" t="s">
        <v>26</v>
      </c>
      <c r="D50" s="2"/>
      <c r="E50" s="22" t="s">
        <v>27</v>
      </c>
      <c r="F50" s="22" t="s">
        <v>28</v>
      </c>
      <c r="G50" s="22" t="s">
        <v>29</v>
      </c>
      <c r="I50" s="22" t="s">
        <v>30</v>
      </c>
      <c r="J50" s="22" t="s">
        <v>27</v>
      </c>
      <c r="K50" s="22" t="s">
        <v>31</v>
      </c>
    </row>
    <row r="51" spans="2:13" x14ac:dyDescent="0.25">
      <c r="B51" s="23">
        <v>1</v>
      </c>
      <c r="C51" s="1" t="str">
        <f>'Customer Analysis'!C9</f>
        <v>Mark Carter</v>
      </c>
      <c r="D51" s="1"/>
      <c r="E51" s="25">
        <f>'Customer Analysis'!D9</f>
        <v>15659.65</v>
      </c>
      <c r="F51" s="26">
        <f>'Customer Analysis'!E9</f>
        <v>12</v>
      </c>
      <c r="G51" s="27">
        <f>'Customer Analysis'!F9</f>
        <v>6.8325324998679035E-2</v>
      </c>
      <c r="I51" s="24" t="str">
        <f>'Sales Analysis'!A22</f>
        <v>Cash</v>
      </c>
      <c r="J51" s="25">
        <f>'Sales Analysis'!B22</f>
        <v>57427.790000000023</v>
      </c>
      <c r="K51" s="27">
        <f>'Sales Analysis'!F22</f>
        <v>0.25056577993160078</v>
      </c>
    </row>
    <row r="52" spans="2:13" x14ac:dyDescent="0.25">
      <c r="B52" s="23">
        <v>2</v>
      </c>
      <c r="C52" s="1" t="str">
        <f>'Customer Analysis'!C10</f>
        <v>Edward Mitchell</v>
      </c>
      <c r="D52" s="1"/>
      <c r="E52" s="25">
        <f>'Customer Analysis'!D10</f>
        <v>11919.769999999999</v>
      </c>
      <c r="F52" s="26">
        <f>'Customer Analysis'!E10</f>
        <v>6</v>
      </c>
      <c r="G52" s="27">
        <f>'Customer Analysis'!F10</f>
        <v>5.2007685941863606E-2</v>
      </c>
      <c r="I52" s="24" t="str">
        <f>'Sales Analysis'!A23</f>
        <v>Credit Card</v>
      </c>
      <c r="J52" s="25">
        <f>'Sales Analysis'!B23</f>
        <v>61447.960000000014</v>
      </c>
      <c r="K52" s="27">
        <f>'Sales Analysis'!F23</f>
        <v>0.26810636492551437</v>
      </c>
    </row>
    <row r="53" spans="2:13" x14ac:dyDescent="0.25">
      <c r="B53" s="23">
        <v>3</v>
      </c>
      <c r="C53" s="1" t="str">
        <f>'Customer Analysis'!C11</f>
        <v>Barbara Young</v>
      </c>
      <c r="D53" s="1"/>
      <c r="E53" s="25">
        <f>'Customer Analysis'!D11</f>
        <v>10649.8</v>
      </c>
      <c r="F53" s="26">
        <f>'Customer Analysis'!E11</f>
        <v>5</v>
      </c>
      <c r="G53" s="27">
        <f>'Customer Analysis'!F11</f>
        <v>4.6466622572722376E-2</v>
      </c>
      <c r="I53" s="24" t="str">
        <f>'Sales Analysis'!A24</f>
        <v>Debit Card</v>
      </c>
      <c r="J53" s="25">
        <f>'Sales Analysis'!B24</f>
        <v>52118.310000000005</v>
      </c>
      <c r="K53" s="27">
        <f>'Sales Analysis'!F24</f>
        <v>0.22739974834251753</v>
      </c>
    </row>
    <row r="54" spans="2:13" x14ac:dyDescent="0.25">
      <c r="B54" s="23">
        <v>4</v>
      </c>
      <c r="C54" s="1" t="str">
        <f>'Customer Analysis'!C12</f>
        <v>Patricia Moore</v>
      </c>
      <c r="D54" s="1"/>
      <c r="E54" s="25">
        <f>'Customer Analysis'!D12</f>
        <v>9799.73</v>
      </c>
      <c r="F54" s="26">
        <f>'Customer Analysis'!E12</f>
        <v>8</v>
      </c>
      <c r="G54" s="27">
        <f>'Customer Analysis'!F12</f>
        <v>4.2757643826605636E-2</v>
      </c>
      <c r="I54" s="24" t="str">
        <f>'Sales Analysis'!A25</f>
        <v>PayPal</v>
      </c>
      <c r="J54" s="25">
        <f>'Sales Analysis'!B25</f>
        <v>58198.409999999996</v>
      </c>
      <c r="K54" s="27">
        <f>'Sales Analysis'!F25</f>
        <v>0.25392810680036737</v>
      </c>
    </row>
    <row r="55" spans="2:13" x14ac:dyDescent="0.25">
      <c r="B55" s="23">
        <v>5</v>
      </c>
      <c r="C55" s="1" t="str">
        <f>'Customer Analysis'!C13</f>
        <v>Paul Baker</v>
      </c>
      <c r="D55" s="1"/>
      <c r="E55" s="25">
        <f>'Customer Analysis'!D13</f>
        <v>8309.739999999998</v>
      </c>
      <c r="F55" s="26">
        <f>'Customer Analysis'!E13</f>
        <v>8</v>
      </c>
      <c r="G55" s="27">
        <f>'Customer Analysis'!F13</f>
        <v>3.6256601274902253E-2</v>
      </c>
    </row>
    <row r="56" spans="2:13" ht="30" customHeight="1" x14ac:dyDescent="0.25">
      <c r="I56" s="22" t="s">
        <v>32</v>
      </c>
      <c r="J56" s="22" t="s">
        <v>27</v>
      </c>
      <c r="K56" s="22" t="s">
        <v>31</v>
      </c>
    </row>
    <row r="57" spans="2:13" x14ac:dyDescent="0.25">
      <c r="I57" s="24" t="str">
        <f>'Sales Analysis'!A30</f>
        <v>Basic</v>
      </c>
      <c r="J57" s="25">
        <f>'Sales Analysis'!B30</f>
        <v>62177.810000000019</v>
      </c>
      <c r="K57" s="27">
        <f>'Sales Analysis'!F30</f>
        <v>0.27129080636898756</v>
      </c>
    </row>
    <row r="58" spans="2:13" x14ac:dyDescent="0.25">
      <c r="I58" s="24" t="str">
        <f>'Sales Analysis'!A31</f>
        <v>Standard</v>
      </c>
      <c r="J58" s="25">
        <f>'Sales Analysis'!B31</f>
        <v>82357.540000000037</v>
      </c>
      <c r="K58" s="27">
        <f>'Sales Analysis'!F31</f>
        <v>0.35933789622320489</v>
      </c>
    </row>
    <row r="59" spans="2:13" x14ac:dyDescent="0.25">
      <c r="I59" s="24" t="str">
        <f>'Sales Analysis'!A32</f>
        <v>Premium</v>
      </c>
      <c r="J59" s="25">
        <f>'Sales Analysis'!B32</f>
        <v>84657.12000000001</v>
      </c>
      <c r="K59" s="27">
        <f>'Sales Analysis'!F32</f>
        <v>0.36937129740780739</v>
      </c>
    </row>
    <row r="63" spans="2:13" ht="15" customHeight="1" x14ac:dyDescent="0.3">
      <c r="B63" s="21" t="s">
        <v>33</v>
      </c>
    </row>
    <row r="64" spans="2:13" ht="30" customHeight="1" x14ac:dyDescent="0.25">
      <c r="B64" s="22" t="s">
        <v>2</v>
      </c>
      <c r="C64" s="22" t="s">
        <v>27</v>
      </c>
      <c r="E64" s="22" t="s">
        <v>34</v>
      </c>
      <c r="F64" s="22" t="s">
        <v>35</v>
      </c>
      <c r="G64" s="22" t="s">
        <v>27</v>
      </c>
      <c r="I64" s="22" t="s">
        <v>4</v>
      </c>
      <c r="J64" s="22" t="s">
        <v>27</v>
      </c>
      <c r="L64" s="22" t="s">
        <v>36</v>
      </c>
      <c r="M64" s="22" t="s">
        <v>27</v>
      </c>
    </row>
    <row r="65" spans="2:13" x14ac:dyDescent="0.25">
      <c r="B65" s="24" t="s">
        <v>37</v>
      </c>
      <c r="C65" s="25">
        <f>SUMIFS('Raw Data'!$N$2:$N$251,'Raw Data'!$K$2:$K$251,B65,'Raw Data'!$G$2:$G$251,$P$3,'Raw Data'!$B$2:$B$251,"&gt;="&amp;$G$3,'Raw Data'!$B$2:$B$251,"&lt;="&amp;$I$3)</f>
        <v>41288.340000000018</v>
      </c>
      <c r="E65" s="28">
        <f>'Sales Analysis'!$A$60</f>
        <v>45383</v>
      </c>
      <c r="F65" s="24" t="str">
        <f t="shared" ref="F65:F77" si="0">TEXT(E65,"mmm-yy")</f>
        <v>Apr-24</v>
      </c>
      <c r="G65" s="25">
        <f>SUMIFS('Raw Data'!$N$2:$N$251,'Raw Data'!$K$2:$K$251,$O$3,'Raw Data'!$G$2:$G$251,$P$3,'Raw Data'!$B$2:$B$251,"&gt;="&amp;MAX(E65,$G$3),'Raw Data'!$B$2:$B$251,"&lt;="&amp;MIN(EOMONTH(E65,0),$I$3))</f>
        <v>20919.330000000002</v>
      </c>
      <c r="I65" s="24" t="s">
        <v>38</v>
      </c>
      <c r="J65" s="25">
        <f>SUMIFS('Raw Data'!$N$2:$N$251,'Raw Data'!$G$2:$G$251,I65,'Raw Data'!$K$2:$K$251,$O$3,'Raw Data'!$B$2:$B$251,"&gt;="&amp;$G$3,'Raw Data'!$B$2:$B$251,"&lt;="&amp;$I$3)</f>
        <v>8338.7399999999961</v>
      </c>
      <c r="L65" s="24" t="str">
        <f>'Sales Analysis'!$A$37</f>
        <v>Laptop</v>
      </c>
      <c r="M65" s="25">
        <f>SUMIFS('Raw Data'!$N$2:$N$251,'Raw Data'!$F$2:$F$251,L65,'Raw Data'!$K$2:$K$251,$O$3,'Raw Data'!$G$2:$G$251,$P$3,'Raw Data'!$B$2:$B$251,"&gt;="&amp;$G$3,'Raw Data'!$B$2:$B$251,"&lt;="&amp;$I$3)</f>
        <v>67499.25</v>
      </c>
    </row>
    <row r="66" spans="2:13" x14ac:dyDescent="0.25">
      <c r="B66" s="24" t="s">
        <v>39</v>
      </c>
      <c r="C66" s="25">
        <f>SUMIFS('Raw Data'!$N$2:$N$251,'Raw Data'!$K$2:$K$251,B66,'Raw Data'!$G$2:$G$251,$P$3,'Raw Data'!$B$2:$B$251,"&gt;="&amp;$G$3,'Raw Data'!$B$2:$B$251,"&lt;="&amp;$I$3)</f>
        <v>59288.389999999992</v>
      </c>
      <c r="E66" s="28">
        <f>'Sales Analysis'!$A$61</f>
        <v>45413</v>
      </c>
      <c r="F66" s="24" t="str">
        <f t="shared" si="0"/>
        <v>May-24</v>
      </c>
      <c r="G66" s="25">
        <f>SUMIFS('Raw Data'!$N$2:$N$251,'Raw Data'!$K$2:$K$251,$O$3,'Raw Data'!$G$2:$G$251,$P$3,'Raw Data'!$B$2:$B$251,"&gt;="&amp;MAX(E66,$G$3),'Raw Data'!$B$2:$B$251,"&lt;="&amp;MIN(EOMONTH(E66,0),$I$3))</f>
        <v>17039.349999999999</v>
      </c>
      <c r="I66" s="24" t="s">
        <v>40</v>
      </c>
      <c r="J66" s="25">
        <f>SUMIFS('Raw Data'!$N$2:$N$251,'Raw Data'!$G$2:$G$251,I66,'Raw Data'!$K$2:$K$251,$O$3,'Raw Data'!$B$2:$B$251,"&gt;="&amp;$G$3,'Raw Data'!$B$2:$B$251,"&lt;="&amp;$I$3)</f>
        <v>171756.05000000013</v>
      </c>
      <c r="L66" s="24" t="str">
        <f>'Sales Analysis'!$A$38</f>
        <v>Smartphone</v>
      </c>
      <c r="M66" s="25">
        <f>SUMIFS('Raw Data'!$N$2:$N$251,'Raw Data'!$F$2:$F$251,L66,'Raw Data'!$K$2:$K$251,$O$3,'Raw Data'!$G$2:$G$251,$P$3,'Raw Data'!$B$2:$B$251,"&gt;="&amp;$G$3,'Raw Data'!$B$2:$B$251,"&lt;="&amp;$I$3)</f>
        <v>67199.039999999994</v>
      </c>
    </row>
    <row r="67" spans="2:13" x14ac:dyDescent="0.25">
      <c r="B67" s="24" t="s">
        <v>41</v>
      </c>
      <c r="C67" s="25">
        <f>SUMIFS('Raw Data'!$N$2:$N$251,'Raw Data'!$K$2:$K$251,B67,'Raw Data'!$G$2:$G$251,$P$3,'Raw Data'!$B$2:$B$251,"&gt;="&amp;$G$3,'Raw Data'!$B$2:$B$251,"&lt;="&amp;$I$3)</f>
        <v>50808.310000000012</v>
      </c>
      <c r="E67" s="28">
        <f>'Sales Analysis'!$A$62</f>
        <v>45444</v>
      </c>
      <c r="F67" s="24" t="str">
        <f t="shared" si="0"/>
        <v>Jun-24</v>
      </c>
      <c r="G67" s="25">
        <f>SUMIFS('Raw Data'!$N$2:$N$251,'Raw Data'!$K$2:$K$251,$O$3,'Raw Data'!$G$2:$G$251,$P$3,'Raw Data'!$B$2:$B$251,"&gt;="&amp;MAX(E67,$G$3),'Raw Data'!$B$2:$B$251,"&lt;="&amp;MIN(EOMONTH(E67,0),$I$3))</f>
        <v>19299.45</v>
      </c>
      <c r="I67" s="24" t="s">
        <v>42</v>
      </c>
      <c r="J67" s="25">
        <f>SUMIFS('Raw Data'!$N$2:$N$251,'Raw Data'!$G$2:$G$251,I67,'Raw Data'!$K$2:$K$251,$O$3,'Raw Data'!$B$2:$B$251,"&gt;="&amp;$G$3,'Raw Data'!$B$2:$B$251,"&lt;="&amp;$I$3)</f>
        <v>49097.680000000015</v>
      </c>
      <c r="L67" s="24" t="str">
        <f>'Sales Analysis'!$A$39</f>
        <v>Headphones</v>
      </c>
      <c r="M67" s="25">
        <f>SUMIFS('Raw Data'!$N$2:$N$251,'Raw Data'!$F$2:$F$251,L67,'Raw Data'!$K$2:$K$251,$O$3,'Raw Data'!$G$2:$G$251,$P$3,'Raw Data'!$B$2:$B$251,"&gt;="&amp;$G$3,'Raw Data'!$B$2:$B$251,"&lt;="&amp;$I$3)</f>
        <v>7049.5299999999988</v>
      </c>
    </row>
    <row r="68" spans="2:13" x14ac:dyDescent="0.25">
      <c r="B68" s="24" t="s">
        <v>43</v>
      </c>
      <c r="C68" s="25">
        <f>SUMIFS('Raw Data'!$N$2:$N$251,'Raw Data'!$K$2:$K$251,B68,'Raw Data'!$G$2:$G$251,$P$3,'Raw Data'!$B$2:$B$251,"&gt;="&amp;$G$3,'Raw Data'!$B$2:$B$251,"&lt;="&amp;$I$3)</f>
        <v>36398.750000000007</v>
      </c>
      <c r="E68" s="28">
        <f>'Sales Analysis'!$A$63</f>
        <v>45474</v>
      </c>
      <c r="F68" s="24" t="str">
        <f t="shared" si="0"/>
        <v>Jul-24</v>
      </c>
      <c r="G68" s="25">
        <f>SUMIFS('Raw Data'!$N$2:$N$251,'Raw Data'!$K$2:$K$251,$O$3,'Raw Data'!$G$2:$G$251,$P$3,'Raw Data'!$B$2:$B$251,"&gt;="&amp;MAX(E68,$G$3),'Raw Data'!$B$2:$B$251,"&lt;="&amp;MIN(EOMONTH(E68,0),$I$3))</f>
        <v>18479.399999999994</v>
      </c>
      <c r="L68" s="24" t="str">
        <f>'Sales Analysis'!$A$40</f>
        <v>Coffee Maker</v>
      </c>
      <c r="M68" s="25">
        <f>SUMIFS('Raw Data'!$N$2:$N$251,'Raw Data'!$F$2:$F$251,L68,'Raw Data'!$K$2:$K$251,$O$3,'Raw Data'!$G$2:$G$251,$P$3,'Raw Data'!$B$2:$B$251,"&gt;="&amp;$G$3,'Raw Data'!$B$2:$B$251,"&lt;="&amp;$I$3)</f>
        <v>3119.6099999999992</v>
      </c>
    </row>
    <row r="69" spans="2:13" x14ac:dyDescent="0.25">
      <c r="B69" s="24" t="s">
        <v>44</v>
      </c>
      <c r="C69" s="25">
        <f>SUMIFS('Raw Data'!$N$2:$N$251,'Raw Data'!$K$2:$K$251,B69,'Raw Data'!$G$2:$G$251,$P$3,'Raw Data'!$B$2:$B$251,"&gt;="&amp;$G$3,'Raw Data'!$B$2:$B$251,"&lt;="&amp;$I$3)</f>
        <v>41408.680000000015</v>
      </c>
      <c r="E69" s="28">
        <f>'Sales Analysis'!$A$64</f>
        <v>45505</v>
      </c>
      <c r="F69" s="24" t="str">
        <f t="shared" si="0"/>
        <v>Aug-24</v>
      </c>
      <c r="G69" s="25">
        <f>SUMIFS('Raw Data'!$N$2:$N$251,'Raw Data'!$K$2:$K$251,$O$3,'Raw Data'!$G$2:$G$251,$P$3,'Raw Data'!$B$2:$B$251,"&gt;="&amp;MAX(E69,$G$3),'Raw Data'!$B$2:$B$251,"&lt;="&amp;MIN(EOMONTH(E69,0),$I$3))</f>
        <v>15759.429999999997</v>
      </c>
      <c r="L69" s="24" t="str">
        <f>'Sales Analysis'!$A$41</f>
        <v>Blender</v>
      </c>
      <c r="M69" s="25">
        <f>SUMIFS('Raw Data'!$N$2:$N$251,'Raw Data'!$F$2:$F$251,L69,'Raw Data'!$K$2:$K$251,$O$3,'Raw Data'!$G$2:$G$251,$P$3,'Raw Data'!$B$2:$B$251,"&gt;="&amp;$G$3,'Raw Data'!$B$2:$B$251,"&lt;="&amp;$I$3)</f>
        <v>5219.1299999999974</v>
      </c>
    </row>
    <row r="70" spans="2:13" x14ac:dyDescent="0.25">
      <c r="E70" s="28">
        <f>'Sales Analysis'!$A$65</f>
        <v>45536</v>
      </c>
      <c r="F70" s="24" t="str">
        <f t="shared" si="0"/>
        <v>Sep-24</v>
      </c>
      <c r="G70" s="25">
        <f>SUMIFS('Raw Data'!$N$2:$N$251,'Raw Data'!$K$2:$K$251,$O$3,'Raw Data'!$G$2:$G$251,$P$3,'Raw Data'!$B$2:$B$251,"&gt;="&amp;MAX(E70,$G$3),'Raw Data'!$B$2:$B$251,"&lt;="&amp;MIN(EOMONTH(E70,0),$I$3))</f>
        <v>12989.509999999997</v>
      </c>
      <c r="L70" s="24" t="str">
        <f>'Sales Analysis'!$A$42</f>
        <v>Office Chair</v>
      </c>
      <c r="M70" s="25">
        <f>SUMIFS('Raw Data'!$N$2:$N$251,'Raw Data'!$F$2:$F$251,L70,'Raw Data'!$K$2:$K$251,$O$3,'Raw Data'!$G$2:$G$251,$P$3,'Raw Data'!$B$2:$B$251,"&gt;="&amp;$G$3,'Raw Data'!$B$2:$B$251,"&lt;="&amp;$I$3)</f>
        <v>10399.479999999998</v>
      </c>
    </row>
    <row r="71" spans="2:13" x14ac:dyDescent="0.25">
      <c r="E71" s="28">
        <f>'Sales Analysis'!$A$66</f>
        <v>45566</v>
      </c>
      <c r="F71" s="24" t="str">
        <f t="shared" si="0"/>
        <v>Oct-24</v>
      </c>
      <c r="G71" s="25">
        <f>SUMIFS('Raw Data'!$N$2:$N$251,'Raw Data'!$K$2:$K$251,$O$3,'Raw Data'!$G$2:$G$251,$P$3,'Raw Data'!$B$2:$B$251,"&gt;="&amp;MAX(E71,$G$3),'Raw Data'!$B$2:$B$251,"&lt;="&amp;MIN(EOMONTH(E71,0),$I$3))</f>
        <v>20609.52</v>
      </c>
      <c r="L71" s="24" t="str">
        <f>'Sales Analysis'!$A$43</f>
        <v>Desk</v>
      </c>
      <c r="M71" s="25">
        <f>SUMIFS('Raw Data'!$N$2:$N$251,'Raw Data'!$F$2:$F$251,L71,'Raw Data'!$K$2:$K$251,$O$3,'Raw Data'!$G$2:$G$251,$P$3,'Raw Data'!$B$2:$B$251,"&gt;="&amp;$G$3,'Raw Data'!$B$2:$B$251,"&lt;="&amp;$I$3)</f>
        <v>23399.22</v>
      </c>
    </row>
    <row r="72" spans="2:13" x14ac:dyDescent="0.25">
      <c r="E72" s="28">
        <f>'Sales Analysis'!$A$67</f>
        <v>45597</v>
      </c>
      <c r="F72" s="24" t="str">
        <f t="shared" si="0"/>
        <v>Nov-24</v>
      </c>
      <c r="G72" s="25">
        <f>SUMIFS('Raw Data'!$N$2:$N$251,'Raw Data'!$K$2:$K$251,$O$3,'Raw Data'!$G$2:$G$251,$P$3,'Raw Data'!$B$2:$B$251,"&gt;="&amp;MAX(E72,$G$3),'Raw Data'!$B$2:$B$251,"&lt;="&amp;MIN(EOMONTH(E72,0),$I$3))</f>
        <v>12309.439999999999</v>
      </c>
      <c r="L72" s="24" t="str">
        <f>'Sales Analysis'!$A$44</f>
        <v>Bookshelf</v>
      </c>
      <c r="M72" s="25">
        <f>SUMIFS('Raw Data'!$N$2:$N$251,'Raw Data'!$F$2:$F$251,L72,'Raw Data'!$K$2:$K$251,$O$3,'Raw Data'!$G$2:$G$251,$P$3,'Raw Data'!$B$2:$B$251,"&gt;="&amp;$G$3,'Raw Data'!$B$2:$B$251,"&lt;="&amp;$I$3)</f>
        <v>15298.979999999994</v>
      </c>
    </row>
    <row r="73" spans="2:13" x14ac:dyDescent="0.25">
      <c r="E73" s="28">
        <f>'Sales Analysis'!$A$68</f>
        <v>45627</v>
      </c>
      <c r="F73" s="24" t="str">
        <f t="shared" si="0"/>
        <v>Dec-24</v>
      </c>
      <c r="G73" s="25">
        <f>SUMIFS('Raw Data'!$N$2:$N$251,'Raw Data'!$K$2:$K$251,$O$3,'Raw Data'!$G$2:$G$251,$P$3,'Raw Data'!$B$2:$B$251,"&gt;="&amp;MAX(E73,$G$3),'Raw Data'!$B$2:$B$251,"&lt;="&amp;MIN(EOMONTH(E73,0),$I$3))</f>
        <v>23039.3</v>
      </c>
      <c r="L73" s="24" t="str">
        <f>'Sales Analysis'!$A$45</f>
        <v>Monitor</v>
      </c>
      <c r="M73" s="25">
        <f>SUMIFS('Raw Data'!$N$2:$N$251,'Raw Data'!$F$2:$F$251,L73,'Raw Data'!$K$2:$K$251,$O$3,'Raw Data'!$G$2:$G$251,$P$3,'Raw Data'!$B$2:$B$251,"&gt;="&amp;$G$3,'Raw Data'!$B$2:$B$251,"&lt;="&amp;$I$3)</f>
        <v>21999.119999999999</v>
      </c>
    </row>
    <row r="74" spans="2:13" x14ac:dyDescent="0.25">
      <c r="E74" s="28">
        <f>'Sales Analysis'!$A$69</f>
        <v>45658</v>
      </c>
      <c r="F74" s="24" t="str">
        <f t="shared" si="0"/>
        <v>Jan-25</v>
      </c>
      <c r="G74" s="25">
        <f>SUMIFS('Raw Data'!$N$2:$N$251,'Raw Data'!$K$2:$K$251,$O$3,'Raw Data'!$G$2:$G$251,$P$3,'Raw Data'!$B$2:$B$251,"&gt;="&amp;MAX(E74,$G$3),'Raw Data'!$B$2:$B$251,"&lt;="&amp;MIN(EOMONTH(E74,0),$I$3))</f>
        <v>25799.15</v>
      </c>
      <c r="L74" s="24" t="str">
        <f>'Sales Analysis'!$A$46</f>
        <v>Keyboard</v>
      </c>
      <c r="M74" s="25">
        <f>SUMIFS('Raw Data'!$N$2:$N$251,'Raw Data'!$F$2:$F$251,L74,'Raw Data'!$K$2:$K$251,$O$3,'Raw Data'!$G$2:$G$251,$P$3,'Raw Data'!$B$2:$B$251,"&gt;="&amp;$G$3,'Raw Data'!$B$2:$B$251,"&lt;="&amp;$I$3)</f>
        <v>8009.1099999999969</v>
      </c>
    </row>
    <row r="75" spans="2:13" x14ac:dyDescent="0.25">
      <c r="E75" s="28">
        <f>'Sales Analysis'!$A$70</f>
        <v>45689</v>
      </c>
      <c r="F75" s="24" t="str">
        <f t="shared" si="0"/>
        <v>Feb-25</v>
      </c>
      <c r="G75" s="25">
        <f>SUMIFS('Raw Data'!$N$2:$N$251,'Raw Data'!$K$2:$K$251,$O$3,'Raw Data'!$G$2:$G$251,$P$3,'Raw Data'!$B$2:$B$251,"&gt;="&amp;MAX(E75,$G$3),'Raw Data'!$B$2:$B$251,"&lt;="&amp;MIN(EOMONTH(E75,0),$I$3))</f>
        <v>16069.379999999997</v>
      </c>
    </row>
    <row r="76" spans="2:13" x14ac:dyDescent="0.25">
      <c r="E76" s="28">
        <f>'Sales Analysis'!$A$71</f>
        <v>45717</v>
      </c>
      <c r="F76" s="24" t="str">
        <f t="shared" si="0"/>
        <v>Mar-25</v>
      </c>
      <c r="G76" s="25">
        <f>SUMIFS('Raw Data'!$N$2:$N$251,'Raw Data'!$K$2:$K$251,$O$3,'Raw Data'!$G$2:$G$251,$P$3,'Raw Data'!$B$2:$B$251,"&gt;="&amp;MAX(E76,$G$3),'Raw Data'!$B$2:$B$251,"&lt;="&amp;MIN(EOMONTH(E76,0),$I$3))</f>
        <v>19899.379999999997</v>
      </c>
    </row>
    <row r="77" spans="2:13" x14ac:dyDescent="0.25">
      <c r="E77" s="28">
        <f>'Sales Analysis'!$A$72</f>
        <v>45748</v>
      </c>
      <c r="F77" s="24" t="str">
        <f t="shared" si="0"/>
        <v>Apr-25</v>
      </c>
      <c r="G77" s="25">
        <f>SUMIFS('Raw Data'!$N$2:$N$251,'Raw Data'!$K$2:$K$251,$O$3,'Raw Data'!$G$2:$G$251,$P$3,'Raw Data'!$B$2:$B$251,"&gt;="&amp;MAX(E77,$G$3),'Raw Data'!$B$2:$B$251,"&lt;="&amp;MIN(EOMONTH(E77,0),$I$3))</f>
        <v>6979.829999999999</v>
      </c>
    </row>
  </sheetData>
  <mergeCells count="45">
    <mergeCell ref="C54:D54"/>
    <mergeCell ref="C55:D55"/>
    <mergeCell ref="L13:M13"/>
    <mergeCell ref="C50:D50"/>
    <mergeCell ref="C51:D51"/>
    <mergeCell ref="C52:D52"/>
    <mergeCell ref="C53:D53"/>
    <mergeCell ref="B13:C13"/>
    <mergeCell ref="D13:E13"/>
    <mergeCell ref="F13:G13"/>
    <mergeCell ref="H13:I13"/>
    <mergeCell ref="J13:K13"/>
    <mergeCell ref="L10:M10"/>
    <mergeCell ref="B11:C12"/>
    <mergeCell ref="D11:E12"/>
    <mergeCell ref="F11:G12"/>
    <mergeCell ref="H11:I12"/>
    <mergeCell ref="J11:K12"/>
    <mergeCell ref="L11:M12"/>
    <mergeCell ref="B10:C10"/>
    <mergeCell ref="D10:E10"/>
    <mergeCell ref="F10:G10"/>
    <mergeCell ref="H10:I10"/>
    <mergeCell ref="J10:K10"/>
    <mergeCell ref="L6:M7"/>
    <mergeCell ref="B8:C8"/>
    <mergeCell ref="D8:E8"/>
    <mergeCell ref="F8:G8"/>
    <mergeCell ref="H8:I8"/>
    <mergeCell ref="J8:K8"/>
    <mergeCell ref="L8:M8"/>
    <mergeCell ref="B6:C7"/>
    <mergeCell ref="D6:E7"/>
    <mergeCell ref="F6:G7"/>
    <mergeCell ref="H6:I7"/>
    <mergeCell ref="J6:K7"/>
    <mergeCell ref="B1:M1"/>
    <mergeCell ref="B2:M2"/>
    <mergeCell ref="J3:M3"/>
    <mergeCell ref="B5:C5"/>
    <mergeCell ref="D5:E5"/>
    <mergeCell ref="F5:G5"/>
    <mergeCell ref="H5:I5"/>
    <mergeCell ref="J5:K5"/>
    <mergeCell ref="L5:M5"/>
  </mergeCells>
  <conditionalFormatting sqref="B11">
    <cfRule type="iconSet" priority="2">
      <iconSet iconSet="3Arrows">
        <cfvo type="num" val="-10"/>
        <cfvo type="num" val="-0.02"/>
        <cfvo type="num" val="0.02"/>
      </iconSet>
    </cfRule>
  </conditionalFormatting>
  <conditionalFormatting sqref="D11">
    <cfRule type="iconSet" priority="3">
      <iconSet iconSet="3Arrows">
        <cfvo type="num" val="-10"/>
        <cfvo type="num" val="-0.05"/>
        <cfvo type="num" val="0.05"/>
      </iconSet>
    </cfRule>
  </conditionalFormatting>
  <conditionalFormatting sqref="E51:E55">
    <cfRule type="dataBar" priority="5">
      <dataBar>
        <cfvo type="num" val="0"/>
        <cfvo type="max"/>
        <color rgb="FFED7D31"/>
      </dataBar>
      <extLst>
        <ext xmlns:x14="http://schemas.microsoft.com/office/spreadsheetml/2009/9/main" uri="{B025F937-C7B1-47D3-B67F-A62EFF666E3E}">
          <x14:id>{DBA048FA-1950-4040-8C98-CEAF2E6F2FD9}</x14:id>
        </ext>
      </extLst>
    </cfRule>
  </conditionalFormatting>
  <conditionalFormatting sqref="F11">
    <cfRule type="iconSet" priority="4">
      <iconSet>
        <cfvo type="num" val="0"/>
        <cfvo type="num" val="0.8"/>
        <cfvo type="num" val="0.9"/>
      </iconSet>
    </cfRule>
  </conditionalFormatting>
  <conditionalFormatting sqref="J51:J54">
    <cfRule type="dataBar" priority="6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{155B3CC0-AF14-4E75-BF46-3F1429CCF91E}</x14:id>
        </ext>
      </extLst>
    </cfRule>
  </conditionalFormatting>
  <conditionalFormatting sqref="J57:J59">
    <cfRule type="dataBar" priority="7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{BFB82712-AB1D-4B50-90B5-26CBEED89F85}</x14:id>
        </ext>
      </extLst>
    </cfRule>
  </conditionalFormatting>
  <dataValidations count="3">
    <dataValidation type="list" sqref="C3" xr:uid="{00000000-0002-0000-0000-000000000000}">
      <formula1>"All,Central,East,North,South,West"</formula1>
      <formula2>0</formula2>
    </dataValidation>
    <dataValidation type="list" sqref="E3" xr:uid="{00000000-0002-0000-0000-000001000000}">
      <formula1>"All,Appliances,Electronics,Furniture"</formula1>
      <formula2>0</formula2>
    </dataValidation>
    <dataValidation type="date" sqref="G3 I3" xr:uid="{00000000-0002-0000-0000-000002000000}">
      <formula1>45000</formula1>
      <formula2>60000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A048FA-1950-4040-8C98-CEAF2E6F2FD9}">
            <x14:dataBar axisPosition="none">
              <x14:cfvo type="num">
                <xm:f>0</xm:f>
              </x14:cfvo>
              <x14:cfvo type="max"/>
              <x14:negativeFillColor rgb="FFED7D31"/>
            </x14:dataBar>
          </x14:cfRule>
          <xm:sqref>E51:E55</xm:sqref>
        </x14:conditionalFormatting>
        <x14:conditionalFormatting xmlns:xm="http://schemas.microsoft.com/office/excel/2006/main">
          <x14:cfRule type="dataBar" id="{155B3CC0-AF14-4E75-BF46-3F1429CCF91E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J51:J54</xm:sqref>
        </x14:conditionalFormatting>
        <x14:conditionalFormatting xmlns:xm="http://schemas.microsoft.com/office/excel/2006/main">
          <x14:cfRule type="dataBar" id="{BFB82712-AB1D-4B50-90B5-26CBEED89F85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J57:J59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  <pageSetUpPr fitToPage="1"/>
  </sheetPr>
  <dimension ref="B1:U169"/>
  <sheetViews>
    <sheetView showGridLines="0" zoomScaleNormal="100" workbookViewId="0">
      <pane ySplit="3" topLeftCell="A150" activePane="bottomLeft" state="frozen"/>
      <selection pane="bottomLeft" activeCell="B167" sqref="B167"/>
    </sheetView>
  </sheetViews>
  <sheetFormatPr defaultColWidth="8.6640625" defaultRowHeight="13.2" x14ac:dyDescent="0.25"/>
  <cols>
    <col min="1" max="1" width="2" customWidth="1"/>
    <col min="2" max="21" width="9.21875" customWidth="1"/>
    <col min="22" max="22" width="2" customWidth="1"/>
  </cols>
  <sheetData>
    <row r="1" spans="2:21" ht="33.75" customHeight="1" x14ac:dyDescent="0.25">
      <c r="B1" s="107" t="s">
        <v>45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</row>
    <row r="2" spans="2:21" x14ac:dyDescent="0.25">
      <c r="B2" s="108" t="str">
        <f>"Dataset: "&amp;TEXT(MIN('Raw Data'!$B$2:$B$251),"dd-mmm-yyyy")&amp;" to "&amp;TEXT(MAX('Raw Data'!$B$2:$B$251),"dd-mmm-yyyy")</f>
        <v>Dataset: 11-Apr-2024 to 11-Apr-2025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9" t="s">
        <v>46</v>
      </c>
      <c r="U2" s="109"/>
    </row>
    <row r="3" spans="2:21" ht="7.5" customHeight="1" x14ac:dyDescent="0.25"/>
    <row r="4" spans="2:21" ht="18" customHeight="1" x14ac:dyDescent="0.25">
      <c r="B4" s="110" t="s">
        <v>7</v>
      </c>
      <c r="C4" s="110"/>
      <c r="D4" s="110"/>
      <c r="E4" s="110"/>
      <c r="F4" s="110" t="s">
        <v>10</v>
      </c>
      <c r="G4" s="110"/>
      <c r="H4" s="110"/>
      <c r="I4" s="110"/>
      <c r="J4" s="110" t="s">
        <v>9</v>
      </c>
      <c r="K4" s="110"/>
      <c r="L4" s="110"/>
      <c r="M4" s="110"/>
      <c r="N4" s="110" t="s">
        <v>11</v>
      </c>
      <c r="O4" s="110"/>
      <c r="P4" s="110"/>
      <c r="Q4" s="110"/>
      <c r="R4" s="110" t="s">
        <v>17</v>
      </c>
      <c r="S4" s="110"/>
      <c r="T4" s="110"/>
      <c r="U4" s="110"/>
    </row>
    <row r="5" spans="2:21" ht="19.5" customHeight="1" x14ac:dyDescent="0.25">
      <c r="B5" s="111">
        <f>'Sales Analysis'!B11</f>
        <v>229192.47000000006</v>
      </c>
      <c r="C5" s="111"/>
      <c r="D5" s="111"/>
      <c r="E5" s="111"/>
      <c r="F5" s="112">
        <f>'Sales Analysis'!E11</f>
        <v>916.76988000000028</v>
      </c>
      <c r="G5" s="112"/>
      <c r="H5" s="112"/>
      <c r="I5" s="112"/>
      <c r="J5" s="113">
        <f>'Sales Analysis'!D11</f>
        <v>753</v>
      </c>
      <c r="K5" s="113"/>
      <c r="L5" s="113"/>
      <c r="M5" s="113"/>
      <c r="N5" s="113">
        <f>COUNTA('Customer Analysis'!$A$23:$A$72)</f>
        <v>50</v>
      </c>
      <c r="O5" s="113"/>
      <c r="P5" s="113"/>
      <c r="Q5" s="113"/>
      <c r="R5" s="114">
        <f>'Customer Analysis'!H4</f>
        <v>0.94</v>
      </c>
      <c r="S5" s="114"/>
      <c r="T5" s="114"/>
      <c r="U5" s="114"/>
    </row>
    <row r="6" spans="2:21" ht="19.5" customHeight="1" x14ac:dyDescent="0.25">
      <c r="B6" s="111"/>
      <c r="C6" s="111"/>
      <c r="D6" s="111"/>
      <c r="E6" s="111"/>
      <c r="F6" s="112"/>
      <c r="G6" s="112"/>
      <c r="H6" s="112"/>
      <c r="I6" s="112"/>
      <c r="J6" s="113"/>
      <c r="K6" s="113"/>
      <c r="L6" s="113"/>
      <c r="M6" s="113"/>
      <c r="N6" s="113"/>
      <c r="O6" s="113"/>
      <c r="P6" s="113"/>
      <c r="Q6" s="113"/>
      <c r="R6" s="114"/>
      <c r="S6" s="114"/>
      <c r="T6" s="114"/>
      <c r="U6" s="114"/>
    </row>
    <row r="7" spans="2:21" ht="15.75" customHeight="1" x14ac:dyDescent="0.25">
      <c r="B7" s="115" t="str">
        <f>"Across "&amp;TEXT('Sales Analysis'!C11,"#,##0")&amp;" orders"</f>
        <v>Across 250 orders</v>
      </c>
      <c r="C7" s="115"/>
      <c r="D7" s="115"/>
      <c r="E7" s="115"/>
      <c r="F7" s="115" t="str">
        <f>"Revenue / orders"</f>
        <v>Revenue / orders</v>
      </c>
      <c r="G7" s="115"/>
      <c r="H7" s="115"/>
      <c r="I7" s="115"/>
      <c r="J7" s="115" t="str">
        <f>"Avg "&amp;TEXT('Sales Analysis'!D11/'Sales Analysis'!C11,"0.0")&amp;" units per order"</f>
        <v>Avg 3.0 units per order</v>
      </c>
      <c r="K7" s="115"/>
      <c r="L7" s="115"/>
      <c r="M7" s="115"/>
      <c r="N7" s="115" t="str">
        <f>"Top 10 = "&amp;TEXT('Customer Analysis'!F19,"0.0%")&amp;" of revenue"</f>
        <v>Top 10 = 41.0% of revenue</v>
      </c>
      <c r="O7" s="115"/>
      <c r="P7" s="115"/>
      <c r="Q7" s="115"/>
      <c r="R7" s="115" t="str">
        <f>"Customers with 2+ orders"</f>
        <v>Customers with 2+ orders</v>
      </c>
      <c r="S7" s="115"/>
      <c r="T7" s="115"/>
      <c r="U7" s="115"/>
    </row>
    <row r="8" spans="2:21" ht="7.5" customHeight="1" x14ac:dyDescent="0.25"/>
    <row r="9" spans="2:21" ht="21.75" customHeight="1" x14ac:dyDescent="0.25">
      <c r="B9" s="116" t="s">
        <v>47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</row>
    <row r="10" spans="2:21" ht="15" customHeight="1" x14ac:dyDescent="0.25"/>
    <row r="11" spans="2:21" ht="15" customHeight="1" x14ac:dyDescent="0.25"/>
    <row r="12" spans="2:21" ht="15" customHeight="1" x14ac:dyDescent="0.25"/>
    <row r="13" spans="2:21" ht="15" customHeight="1" x14ac:dyDescent="0.25"/>
    <row r="14" spans="2:21" ht="15" customHeight="1" x14ac:dyDescent="0.25"/>
    <row r="15" spans="2:21" ht="15" customHeight="1" x14ac:dyDescent="0.25"/>
    <row r="16" spans="2:2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spans="2:21" ht="15" customHeight="1" x14ac:dyDescent="0.25"/>
    <row r="34" spans="2:21" ht="15" customHeight="1" x14ac:dyDescent="0.25"/>
    <row r="35" spans="2:21" ht="15" customHeight="1" x14ac:dyDescent="0.25"/>
    <row r="36" spans="2:21" ht="15" customHeight="1" x14ac:dyDescent="0.25"/>
    <row r="37" spans="2:21" ht="15" customHeight="1" x14ac:dyDescent="0.25"/>
    <row r="38" spans="2:21" ht="15" customHeight="1" x14ac:dyDescent="0.25"/>
    <row r="39" spans="2:21" ht="15" customHeight="1" x14ac:dyDescent="0.25"/>
    <row r="40" spans="2:21" ht="15" customHeight="1" x14ac:dyDescent="0.25"/>
    <row r="41" spans="2:21" ht="15" customHeight="1" x14ac:dyDescent="0.25"/>
    <row r="42" spans="2:21" ht="15" customHeight="1" x14ac:dyDescent="0.25"/>
    <row r="43" spans="2:21" ht="15" customHeight="1" x14ac:dyDescent="0.25"/>
    <row r="44" spans="2:21" ht="15" customHeight="1" x14ac:dyDescent="0.25"/>
    <row r="45" spans="2:21" ht="15" customHeight="1" x14ac:dyDescent="0.25"/>
    <row r="46" spans="2:21" ht="21.75" customHeight="1" x14ac:dyDescent="0.25">
      <c r="B46" s="116" t="s">
        <v>48</v>
      </c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</row>
    <row r="47" spans="2:21" ht="15" customHeight="1" x14ac:dyDescent="0.25"/>
    <row r="48" spans="2:21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spans="2:21" ht="15" customHeight="1" x14ac:dyDescent="0.25"/>
    <row r="82" spans="2:21" ht="15" customHeight="1" x14ac:dyDescent="0.25"/>
    <row r="83" spans="2:21" ht="21.75" customHeight="1" x14ac:dyDescent="0.25">
      <c r="B83" s="116" t="s">
        <v>49</v>
      </c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</row>
    <row r="84" spans="2:21" ht="15" customHeight="1" x14ac:dyDescent="0.25"/>
    <row r="85" spans="2:21" ht="15" customHeight="1" x14ac:dyDescent="0.25"/>
    <row r="86" spans="2:21" ht="15" customHeight="1" x14ac:dyDescent="0.25"/>
    <row r="87" spans="2:21" ht="15" customHeight="1" x14ac:dyDescent="0.25"/>
    <row r="88" spans="2:21" ht="15" customHeight="1" x14ac:dyDescent="0.25"/>
    <row r="89" spans="2:21" ht="15" customHeight="1" x14ac:dyDescent="0.25"/>
    <row r="90" spans="2:21" ht="15" customHeight="1" x14ac:dyDescent="0.25"/>
    <row r="91" spans="2:21" ht="15" customHeight="1" x14ac:dyDescent="0.25"/>
    <row r="92" spans="2:21" ht="15" customHeight="1" x14ac:dyDescent="0.25"/>
    <row r="93" spans="2:21" ht="15" customHeight="1" x14ac:dyDescent="0.25"/>
    <row r="94" spans="2:21" ht="15" customHeight="1" x14ac:dyDescent="0.25"/>
    <row r="95" spans="2:21" ht="15" customHeight="1" x14ac:dyDescent="0.25"/>
    <row r="96" spans="2:21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spans="2:21" ht="15" customHeight="1" x14ac:dyDescent="0.25"/>
    <row r="114" spans="2:21" ht="15" customHeight="1" x14ac:dyDescent="0.25"/>
    <row r="115" spans="2:21" ht="15" customHeight="1" x14ac:dyDescent="0.25"/>
    <row r="116" spans="2:21" ht="15" customHeight="1" x14ac:dyDescent="0.25"/>
    <row r="117" spans="2:21" ht="15" customHeight="1" x14ac:dyDescent="0.25"/>
    <row r="118" spans="2:21" ht="15" customHeight="1" x14ac:dyDescent="0.25"/>
    <row r="119" spans="2:21" ht="15" customHeight="1" x14ac:dyDescent="0.25"/>
    <row r="120" spans="2:21" ht="21.75" customHeight="1" x14ac:dyDescent="0.25">
      <c r="B120" s="116" t="s">
        <v>50</v>
      </c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</row>
    <row r="121" spans="2:21" ht="15" customHeight="1" x14ac:dyDescent="0.25"/>
    <row r="122" spans="2:21" ht="15" customHeight="1" x14ac:dyDescent="0.25"/>
    <row r="123" spans="2:21" ht="15" customHeight="1" x14ac:dyDescent="0.25"/>
    <row r="124" spans="2:21" ht="15" customHeight="1" x14ac:dyDescent="0.25"/>
    <row r="125" spans="2:21" ht="15" customHeight="1" x14ac:dyDescent="0.25"/>
    <row r="126" spans="2:21" ht="15" customHeight="1" x14ac:dyDescent="0.25"/>
    <row r="127" spans="2:21" ht="15" customHeight="1" x14ac:dyDescent="0.25"/>
    <row r="128" spans="2:21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spans="2:21" ht="15" customHeight="1" x14ac:dyDescent="0.25"/>
    <row r="146" spans="2:21" ht="15" customHeight="1" x14ac:dyDescent="0.25"/>
    <row r="147" spans="2:21" ht="15" customHeight="1" x14ac:dyDescent="0.25"/>
    <row r="148" spans="2:21" ht="15" customHeight="1" x14ac:dyDescent="0.25"/>
    <row r="149" spans="2:21" ht="15" customHeight="1" x14ac:dyDescent="0.25"/>
    <row r="150" spans="2:21" ht="15" customHeight="1" x14ac:dyDescent="0.25"/>
    <row r="151" spans="2:21" ht="15" customHeight="1" x14ac:dyDescent="0.25"/>
    <row r="152" spans="2:21" ht="15" customHeight="1" x14ac:dyDescent="0.25"/>
    <row r="153" spans="2:21" ht="15" customHeight="1" x14ac:dyDescent="0.25"/>
    <row r="154" spans="2:21" ht="15" customHeight="1" x14ac:dyDescent="0.25"/>
    <row r="155" spans="2:21" ht="15" customHeight="1" x14ac:dyDescent="0.25"/>
    <row r="156" spans="2:21" ht="15" customHeight="1" x14ac:dyDescent="0.25"/>
    <row r="157" spans="2:21" ht="30" customHeight="1" x14ac:dyDescent="0.25"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</row>
    <row r="158" spans="2:21" ht="15" customHeight="1" x14ac:dyDescent="0.25"/>
    <row r="159" spans="2:21" ht="15" customHeight="1" x14ac:dyDescent="0.25"/>
    <row r="160" spans="2:21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</sheetData>
  <mergeCells count="23">
    <mergeCell ref="B9:U9"/>
    <mergeCell ref="B46:U46"/>
    <mergeCell ref="B83:U83"/>
    <mergeCell ref="B120:U120"/>
    <mergeCell ref="B157:U157"/>
    <mergeCell ref="B7:E7"/>
    <mergeCell ref="F7:I7"/>
    <mergeCell ref="J7:M7"/>
    <mergeCell ref="N7:Q7"/>
    <mergeCell ref="R7:U7"/>
    <mergeCell ref="B5:E6"/>
    <mergeCell ref="F5:I6"/>
    <mergeCell ref="J5:M6"/>
    <mergeCell ref="N5:Q6"/>
    <mergeCell ref="R5:U6"/>
    <mergeCell ref="B1:U1"/>
    <mergeCell ref="B2:S2"/>
    <mergeCell ref="T2:U2"/>
    <mergeCell ref="B4:E4"/>
    <mergeCell ref="F4:I4"/>
    <mergeCell ref="J4:M4"/>
    <mergeCell ref="N4:Q4"/>
    <mergeCell ref="R4:U4"/>
  </mergeCells>
  <hyperlinks>
    <hyperlink ref="T2" r:id="rId1" location="'Dashboard'!A1" xr:uid="{00000000-0004-0000-0100-000000000000}"/>
  </hyperlinks>
  <pageMargins left="0.75" right="0.75" top="1" bottom="1" header="0.511811023622047" footer="0.511811023622047"/>
  <pageSetup fitToHeight="0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A2"/>
  <sheetViews>
    <sheetView showGridLines="0" topLeftCell="A54" zoomScaleNormal="100" workbookViewId="0">
      <selection activeCell="F2" sqref="F2"/>
    </sheetView>
  </sheetViews>
  <sheetFormatPr defaultColWidth="8.6640625" defaultRowHeight="13.2" x14ac:dyDescent="0.25"/>
  <sheetData>
    <row r="1" spans="1:1" ht="21" customHeight="1" x14ac:dyDescent="0.4">
      <c r="A1" s="29" t="s">
        <v>51</v>
      </c>
    </row>
    <row r="2" spans="1:1" x14ac:dyDescent="0.25">
      <c r="A2" s="30"/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  <pageSetUpPr fitToPage="1"/>
  </sheetPr>
  <dimension ref="A1:E23"/>
  <sheetViews>
    <sheetView showGridLines="0" zoomScaleNormal="100" workbookViewId="0">
      <selection activeCell="B5" sqref="B5:D5"/>
    </sheetView>
  </sheetViews>
  <sheetFormatPr defaultColWidth="8.6640625" defaultRowHeight="13.2" x14ac:dyDescent="0.25"/>
  <cols>
    <col min="1" max="1" width="4" customWidth="1"/>
    <col min="2" max="2" width="24" customWidth="1"/>
    <col min="3" max="3" width="78" customWidth="1"/>
    <col min="4" max="4" width="62" customWidth="1"/>
  </cols>
  <sheetData>
    <row r="1" spans="1:5" ht="21" customHeight="1" x14ac:dyDescent="0.4">
      <c r="A1" s="29" t="s">
        <v>52</v>
      </c>
    </row>
    <row r="2" spans="1:5" x14ac:dyDescent="0.25">
      <c r="A2" s="30"/>
    </row>
    <row r="4" spans="1:5" ht="16.5" customHeight="1" x14ac:dyDescent="0.3">
      <c r="B4" s="31" t="s">
        <v>53</v>
      </c>
    </row>
    <row r="5" spans="1:5" ht="48" customHeight="1" x14ac:dyDescent="0.25">
      <c r="B5" s="118" t="str">
        <f>"Between "&amp;TEXT(MIN('Raw Data'!$B$2:$B$251),"mmm yyyy")&amp;" and "&amp;TEXT(MAX('Raw Data'!$B$2:$B$251),"mmm yyyy")&amp;", "&amp;TEXT('Sales Analysis'!C11,"#,##0")&amp;" orders from "&amp;COUNTA('Customer Analysis'!$A$23:$A$72)&amp;" customers generated "&amp;TEXT('Sales Analysis'!B11,"$#,##0")&amp;" in revenue (average order "&amp;TEXT('Sales Analysis'!E11,"$#,##0")&amp;"). Sales are concentrated in a few products, one category and a small group of high-value customers - which is both the opportunity and the risk."</f>
        <v>Between Apr 2024 and Apr 2025, 250 orders from 50 customers generated $2,29,192 in revenue (average order $917). Sales are concentrated in a few products, one category and a small group of high-value customers - which is both the opportunity and the risk.</v>
      </c>
      <c r="C5" s="118"/>
      <c r="D5" s="118"/>
    </row>
    <row r="7" spans="1:5" ht="30" customHeight="1" x14ac:dyDescent="0.25">
      <c r="B7" s="22" t="s">
        <v>54</v>
      </c>
      <c r="C7" s="22" t="s">
        <v>55</v>
      </c>
      <c r="D7" s="24"/>
      <c r="E7" s="24"/>
    </row>
    <row r="8" spans="1:5" x14ac:dyDescent="0.25">
      <c r="B8" s="32" t="s">
        <v>56</v>
      </c>
      <c r="C8" s="33">
        <f>'Sales Analysis'!B11</f>
        <v>229192.47000000006</v>
      </c>
    </row>
    <row r="9" spans="1:5" x14ac:dyDescent="0.25">
      <c r="B9" s="32" t="s">
        <v>28</v>
      </c>
      <c r="C9" s="34">
        <f>'Sales Analysis'!C11</f>
        <v>250</v>
      </c>
    </row>
    <row r="10" spans="1:5" x14ac:dyDescent="0.25">
      <c r="B10" s="32" t="s">
        <v>57</v>
      </c>
      <c r="C10" s="34">
        <f>COUNTA('Customer Analysis'!$A$23:$A$72)</f>
        <v>50</v>
      </c>
    </row>
    <row r="11" spans="1:5" x14ac:dyDescent="0.25">
      <c r="B11" s="32" t="s">
        <v>58</v>
      </c>
      <c r="C11" s="35">
        <f>'Sales Analysis'!E11</f>
        <v>916.76988000000028</v>
      </c>
    </row>
    <row r="13" spans="1:5" ht="30" customHeight="1" x14ac:dyDescent="0.25">
      <c r="A13" s="22" t="s">
        <v>59</v>
      </c>
      <c r="B13" s="22" t="s">
        <v>60</v>
      </c>
      <c r="C13" s="22" t="s">
        <v>61</v>
      </c>
      <c r="D13" s="22" t="s">
        <v>62</v>
      </c>
    </row>
    <row r="14" spans="1:5" ht="61.5" customHeight="1" x14ac:dyDescent="0.25">
      <c r="A14" s="23">
        <v>1</v>
      </c>
      <c r="B14" s="36" t="s">
        <v>63</v>
      </c>
      <c r="C14" s="37" t="str">
        <f>INDEX('Sales Analysis'!$A$15:$A$17,MATCH(MAX('Sales Analysis'!$B$15:$B$17),'Sales Analysis'!$B$15:$B$17,0))&amp;" generates "&amp;TEXT(MAX('Sales Analysis'!$F$15:$F$17),"0.0%")&amp;" of revenue ("&amp;TEXT(MAX('Sales Analysis'!$B$15:$B$17),"$#,##0")&amp;"), while "&amp;INDEX('Sales Analysis'!$A$15:$A$17,MATCH(MIN('Sales Analysis'!$B$15:$B$17),'Sales Analysis'!$B$15:$B$17,0))&amp;" adds only "&amp;TEXT(MIN('Sales Analysis'!$F$15:$F$17),"0.0%")&amp;"."</f>
        <v>Electronics generates 74.9% of revenue ($1,71,756), while Appliances adds only 3.6%.</v>
      </c>
      <c r="D14" s="37" t="s">
        <v>64</v>
      </c>
    </row>
    <row r="15" spans="1:5" ht="61.5" customHeight="1" x14ac:dyDescent="0.25">
      <c r="A15" s="23">
        <v>2</v>
      </c>
      <c r="B15" s="36" t="s">
        <v>65</v>
      </c>
      <c r="C15" s="37" t="str">
        <f>"Top two products by revenue - "&amp;INDEX('Sales Analysis'!$A$37:$A$46,MATCH(LARGE('Sales Analysis'!$B$37:$B$46,1),'Sales Analysis'!$B$37:$B$46,0))&amp;" and "&amp;INDEX('Sales Analysis'!$A$37:$A$46,MATCH(LARGE('Sales Analysis'!$B$37:$B$46,2),'Sales Analysis'!$B$37:$B$46,0))&amp;" - deliver "&amp;TEXT((LARGE('Sales Analysis'!$B$37:$B$46,1)+LARGE('Sales Analysis'!$B$37:$B$46,2))/'Sales Analysis'!B47,"0.0%")&amp;" of revenue from only "&amp;TEXT((INDEX('Sales Analysis'!$C$37:$C$46,MATCH(LARGE('Sales Analysis'!$B$37:$B$46,1),'Sales Analysis'!$B$37:$B$46,0))+INDEX('Sales Analysis'!$C$37:$C$46,MATCH(LARGE('Sales Analysis'!$B$37:$B$46,2),'Sales Analysis'!$B$37:$B$46,0)))/'Sales Analysis'!C47,"0.0%")&amp;" of orders."</f>
        <v>Top two products by revenue - Laptop and Smartphone - deliver 58.8% of revenue from only 22.0% of orders.</v>
      </c>
      <c r="D15" s="37" t="s">
        <v>66</v>
      </c>
    </row>
    <row r="16" spans="1:5" ht="61.5" customHeight="1" x14ac:dyDescent="0.25">
      <c r="A16" s="23">
        <v>3</v>
      </c>
      <c r="B16" s="36" t="s">
        <v>67</v>
      </c>
      <c r="C16" s="37" t="str">
        <f>"Most frequently ordered product is "&amp;'Names &amp; Lists'!B17&amp;" ("&amp;'Names &amp; Lists'!C17&amp;") but it ranks #"&amp;INDEX('Sales Analysis'!$G$37:$G$46,MATCH('Names &amp; Lists'!B17,'Sales Analysis'!$A$37:$A$46,0))&amp;" by revenue; the highest-revenue product is "&amp;'Names &amp; Lists'!B19&amp;"."</f>
        <v>Most frequently ordered product is Bookshelf (35 orders) but it ranks #5 by revenue; the highest-revenue product is Laptop.</v>
      </c>
      <c r="D16" s="37" t="s">
        <v>68</v>
      </c>
    </row>
    <row r="17" spans="1:4" ht="61.5" customHeight="1" x14ac:dyDescent="0.25">
      <c r="A17" s="23">
        <v>4</v>
      </c>
      <c r="B17" s="36" t="s">
        <v>69</v>
      </c>
      <c r="C17" s="37" t="str">
        <f>"Best region: "&amp;INDEX('Sales Analysis'!$A$6:$A$10,MATCH(MAX('Sales Analysis'!$B$6:$B$10),'Sales Analysis'!$B$6:$B$10,0))&amp;" ("&amp;TEXT(MAX('Sales Analysis'!$B$6:$B$10),"$#,##0")&amp;", "&amp;TEXT(INDEX('Sales Analysis'!$F$6:$F$10,MATCH(MAX('Sales Analysis'!$B$6:$B$10),'Sales Analysis'!$B$6:$B$10,0)),"0.0%")&amp;" of sales). Weakest: "&amp;INDEX('Sales Analysis'!$A$6:$A$10,MATCH(MIN('Sales Analysis'!$B$6:$B$10),'Sales Analysis'!$B$6:$B$10,0))&amp;" ("&amp;TEXT(MIN('Sales Analysis'!$B$6:$B$10),"$#,##0")&amp;") - a gap of "&amp;TEXT(MAX('Sales Analysis'!$B$6:$B$10)/MIN('Sales Analysis'!$B$6:$B$10)-1,"0%")&amp;"."</f>
        <v>Best region: East ($59,288, 25.9% of sales). Weakest: South ($36,399) - a gap of 63%.</v>
      </c>
      <c r="D17" s="37" t="s">
        <v>70</v>
      </c>
    </row>
    <row r="18" spans="1:4" ht="61.5" customHeight="1" x14ac:dyDescent="0.25">
      <c r="A18" s="23">
        <v>5</v>
      </c>
      <c r="B18" s="36" t="s">
        <v>71</v>
      </c>
      <c r="C18" s="37" t="str">
        <f>"Top customer "&amp;'Customer Analysis'!C9&amp;" contributes "&amp;TEXT('Customer Analysis'!F9,"0.0%")&amp;" of revenue; the top 10 customers contribute "&amp;TEXT('Customer Analysis'!G18,"0.0%")&amp;". "&amp;'Customer Analysis'!E3&amp;" High-Value customers (top "&amp;TEXT(1-'Customer Analysis'!B3,"0%")&amp;") generate "&amp;TEXT('Customer Analysis'!E5,"0.0%")&amp;" of sales."</f>
        <v>Top customer Mark Carter contributes 6.8% of revenue; the top 10 customers contribute 41.0%. 10 High-Value customers (top 20%) generate 41.0% of sales.</v>
      </c>
      <c r="D18" s="37" t="s">
        <v>72</v>
      </c>
    </row>
    <row r="19" spans="1:4" ht="61.5" customHeight="1" x14ac:dyDescent="0.25">
      <c r="A19" s="23">
        <v>6</v>
      </c>
      <c r="B19" s="36" t="s">
        <v>73</v>
      </c>
      <c r="C19" s="37" t="str">
        <f>TEXT('Customer Analysis'!H4,"0%")&amp;" of customers bought more than once ("&amp;'Customer Analysis'!H3&amp;" of "&amp;COUNTA('Customer Analysis'!$A$23:$A$72)&amp;"). Most frequent buyer: "&amp;'Names &amp; Lists'!B25&amp;" with "&amp;'Names &amp; Lists'!C25&amp;"."</f>
        <v>94% of customers bought more than once (47 of 50). Most frequent buyer: Mark Carter with 12 transactions.</v>
      </c>
      <c r="D19" s="37" t="s">
        <v>74</v>
      </c>
    </row>
    <row r="20" spans="1:4" ht="61.5" customHeight="1" x14ac:dyDescent="0.25">
      <c r="A20" s="23">
        <v>7</v>
      </c>
      <c r="B20" s="36" t="s">
        <v>75</v>
      </c>
      <c r="C20" s="37" t="str">
        <f>"Among full months, revenue peaked in "&amp;TEXT(INDEX('Sales Analysis'!$A$61:$A$71,MATCH(MAX('Sales Analysis'!$C$61:$C$71),'Sales Analysis'!$C$61:$C$71,0)),"mmm yyyy")&amp;" ("&amp;TEXT(MAX('Sales Analysis'!$C$61:$C$71),"$#,##0")&amp;") and bottomed in "&amp;TEXT(INDEX('Sales Analysis'!$A$61:$A$71,MATCH(MIN('Sales Analysis'!$C$61:$C$71),'Sales Analysis'!$C$61:$C$71,0)),"mmm yyyy")&amp;" ("&amp;TEXT(MIN('Sales Analysis'!$C$61:$C$71),"$#,##0")&amp;")."</f>
        <v>Among full months, revenue peaked in Jan 2025 ($25,799) and bottomed in Nov 2024 ($12,309).</v>
      </c>
      <c r="D20" s="37" t="s">
        <v>76</v>
      </c>
    </row>
    <row r="21" spans="1:4" ht="61.5" customHeight="1" x14ac:dyDescent="0.25">
      <c r="A21" s="23">
        <v>8</v>
      </c>
      <c r="B21" s="36" t="s">
        <v>77</v>
      </c>
      <c r="C21" s="37" t="str">
        <f>"Most-used method by revenue: "&amp;INDEX('Sales Analysis'!$A$22:$A$25,MATCH(MAX('Sales Analysis'!$B$22:$B$25),'Sales Analysis'!$B$22:$B$25,0))&amp;" ("&amp;TEXT(MAX('Sales Analysis'!$F$22:$F$25),"0.0%")&amp;"); the spread between top and bottom method is only "&amp;TEXT((MAX('Sales Analysis'!$F$22:$F$25)-MIN('Sales Analysis'!$F$22:$F$25))*100,"0.0")&amp;" percentage points."</f>
        <v>Most-used method by revenue: Credit Card (26.8%); the spread between top and bottom method is only 4.1 percentage points.</v>
      </c>
      <c r="D21" s="37" t="s">
        <v>78</v>
      </c>
    </row>
    <row r="22" spans="1:4" ht="61.5" customHeight="1" x14ac:dyDescent="0.25">
      <c r="A22" s="23">
        <v>9</v>
      </c>
      <c r="B22" s="36" t="s">
        <v>79</v>
      </c>
      <c r="C22" s="37" t="str">
        <f>"Order value = "&amp;TEXT(Regression!B18,"$#,##0")&amp;" + "&amp;TEXT(Regression!B19,"$#,##0")&amp;" per extra unit + "&amp;TEXT(Regression!B20,"$#,##0.00")&amp;" per $1 of unit price (R-squared "&amp;TEXT(Regression!B7,"0.00")&amp;"). Monthly trend is "&amp;IF(Regression!E41&lt;0.05,"significant","NOT statistically significant")&amp;" (p = "&amp;TEXT(Regression!E41,"0.00")&amp;")."</f>
        <v>Order value = -$932 + $314 per extra unit + $3.04 per $1 of unit price (R-squared 0.86). Monthly trend is NOT statistically significant (p = 0.41).</v>
      </c>
      <c r="D22" s="37" t="s">
        <v>80</v>
      </c>
    </row>
    <row r="23" spans="1:4" ht="61.5" customHeight="1" x14ac:dyDescent="0.25">
      <c r="A23" s="23">
        <v>10</v>
      </c>
      <c r="B23" s="36" t="s">
        <v>81</v>
      </c>
      <c r="C23" s="37" t="str">
        <f>"Customer_Since holds conflicting dates for "&amp;'Customer Analysis'!H5&amp;" of "&amp;COUNTA('Customer Analysis'!$A$23:$A$72)&amp;" customers; Region and Segment also change between transactions of the same Customer_ID."</f>
        <v>Customer_Since holds conflicting dates for 47 of 50 customers; Region and Segment also change between transactions of the same Customer_ID.</v>
      </c>
      <c r="D23" s="37" t="s">
        <v>82</v>
      </c>
    </row>
  </sheetData>
  <mergeCells count="1">
    <mergeCell ref="B5:D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  <pageSetUpPr fitToPage="1"/>
  </sheetPr>
  <dimension ref="A1:K74"/>
  <sheetViews>
    <sheetView showGridLines="0" zoomScaleNormal="100" workbookViewId="0">
      <pane ySplit="3" topLeftCell="A69" activePane="bottomLeft" state="frozen"/>
      <selection pane="bottomLeft" activeCell="A74" sqref="A74"/>
    </sheetView>
  </sheetViews>
  <sheetFormatPr defaultColWidth="8.6640625" defaultRowHeight="13.2" x14ac:dyDescent="0.25"/>
  <cols>
    <col min="1" max="1" width="18" customWidth="1"/>
    <col min="2" max="2" width="14" customWidth="1"/>
    <col min="3" max="4" width="13" customWidth="1"/>
    <col min="5" max="5" width="15" customWidth="1"/>
    <col min="6" max="6" width="13" customWidth="1"/>
    <col min="7" max="7" width="16" customWidth="1"/>
    <col min="8" max="11" width="13" customWidth="1"/>
  </cols>
  <sheetData>
    <row r="1" spans="1:7" ht="21" customHeight="1" x14ac:dyDescent="0.4">
      <c r="A1" s="29" t="s">
        <v>83</v>
      </c>
    </row>
    <row r="2" spans="1:7" x14ac:dyDescent="0.25">
      <c r="A2" s="30"/>
    </row>
    <row r="4" spans="1:7" ht="15" customHeight="1" x14ac:dyDescent="0.3">
      <c r="A4" s="21" t="s">
        <v>84</v>
      </c>
    </row>
    <row r="5" spans="1:7" ht="30" customHeight="1" x14ac:dyDescent="0.25">
      <c r="A5" s="22" t="s">
        <v>2</v>
      </c>
      <c r="B5" s="22" t="s">
        <v>27</v>
      </c>
      <c r="C5" s="22" t="s">
        <v>28</v>
      </c>
      <c r="D5" s="22" t="s">
        <v>85</v>
      </c>
      <c r="E5" s="22" t="s">
        <v>58</v>
      </c>
      <c r="F5" s="22" t="s">
        <v>86</v>
      </c>
      <c r="G5" s="22" t="s">
        <v>25</v>
      </c>
    </row>
    <row r="6" spans="1:7" x14ac:dyDescent="0.25">
      <c r="A6" s="24" t="s">
        <v>37</v>
      </c>
      <c r="B6" s="25">
        <f>SUMIFS('Raw Data'!$N$2:$N$251,'Raw Data'!$K$2:$K$251,$A6)</f>
        <v>41288.340000000018</v>
      </c>
      <c r="C6" s="26">
        <f>COUNTIFS('Raw Data'!$K$2:$K$251,$A6)</f>
        <v>54</v>
      </c>
      <c r="D6" s="26">
        <f>SUMIFS('Raw Data'!$H$2:$H$251,'Raw Data'!$K$2:$K$251,$A6)</f>
        <v>166</v>
      </c>
      <c r="E6" s="38">
        <f>IFERROR(B6/C6,0)</f>
        <v>764.59888888888918</v>
      </c>
      <c r="F6" s="27">
        <f>B6/$B$11</f>
        <v>0.18014701791904422</v>
      </c>
      <c r="G6" s="23">
        <f>RANK(B6,$B$6:$B$10,0)</f>
        <v>4</v>
      </c>
    </row>
    <row r="7" spans="1:7" x14ac:dyDescent="0.25">
      <c r="A7" s="24" t="s">
        <v>39</v>
      </c>
      <c r="B7" s="25">
        <f>SUMIFS('Raw Data'!$N$2:$N$251,'Raw Data'!$K$2:$K$251,$A7)</f>
        <v>59288.389999999992</v>
      </c>
      <c r="C7" s="26">
        <f>COUNTIFS('Raw Data'!$K$2:$K$251,$A7)</f>
        <v>48</v>
      </c>
      <c r="D7" s="26">
        <f>SUMIFS('Raw Data'!$H$2:$H$251,'Raw Data'!$K$2:$K$251,$A7)</f>
        <v>161</v>
      </c>
      <c r="E7" s="38">
        <f>IFERROR(B7/C7,0)</f>
        <v>1235.1747916666666</v>
      </c>
      <c r="F7" s="27">
        <f>B7/$B$11</f>
        <v>0.25868384768487368</v>
      </c>
      <c r="G7" s="23">
        <f>RANK(B7,$B$6:$B$10,0)</f>
        <v>1</v>
      </c>
    </row>
    <row r="8" spans="1:7" x14ac:dyDescent="0.25">
      <c r="A8" s="24" t="s">
        <v>41</v>
      </c>
      <c r="B8" s="25">
        <f>SUMIFS('Raw Data'!$N$2:$N$251,'Raw Data'!$K$2:$K$251,$A8)</f>
        <v>50808.310000000012</v>
      </c>
      <c r="C8" s="26">
        <f>COUNTIFS('Raw Data'!$K$2:$K$251,$A8)</f>
        <v>59</v>
      </c>
      <c r="D8" s="26">
        <f>SUMIFS('Raw Data'!$H$2:$H$251,'Raw Data'!$K$2:$K$251,$A8)</f>
        <v>169</v>
      </c>
      <c r="E8" s="38">
        <f>IFERROR(B8/C8,0)</f>
        <v>861.15779661016973</v>
      </c>
      <c r="F8" s="27">
        <f>B8/$B$11</f>
        <v>0.221684028275449</v>
      </c>
      <c r="G8" s="23">
        <f>RANK(B8,$B$6:$B$10,0)</f>
        <v>2</v>
      </c>
    </row>
    <row r="9" spans="1:7" x14ac:dyDescent="0.25">
      <c r="A9" s="24" t="s">
        <v>43</v>
      </c>
      <c r="B9" s="25">
        <f>SUMIFS('Raw Data'!$N$2:$N$251,'Raw Data'!$K$2:$K$251,$A9)</f>
        <v>36398.750000000007</v>
      </c>
      <c r="C9" s="26">
        <f>COUNTIFS('Raw Data'!$K$2:$K$251,$A9)</f>
        <v>42</v>
      </c>
      <c r="D9" s="26">
        <f>SUMIFS('Raw Data'!$H$2:$H$251,'Raw Data'!$K$2:$K$251,$A9)</f>
        <v>125</v>
      </c>
      <c r="E9" s="38">
        <f>IFERROR(B9/C9,0)</f>
        <v>866.63690476190493</v>
      </c>
      <c r="F9" s="27">
        <f>B9/$B$11</f>
        <v>0.1588130273215346</v>
      </c>
      <c r="G9" s="23">
        <f>RANK(B9,$B$6:$B$10,0)</f>
        <v>5</v>
      </c>
    </row>
    <row r="10" spans="1:7" x14ac:dyDescent="0.25">
      <c r="A10" s="24" t="s">
        <v>44</v>
      </c>
      <c r="B10" s="25">
        <f>SUMIFS('Raw Data'!$N$2:$N$251,'Raw Data'!$K$2:$K$251,$A10)</f>
        <v>41408.680000000015</v>
      </c>
      <c r="C10" s="26">
        <f>COUNTIFS('Raw Data'!$K$2:$K$251,$A10)</f>
        <v>47</v>
      </c>
      <c r="D10" s="26">
        <f>SUMIFS('Raw Data'!$H$2:$H$251,'Raw Data'!$K$2:$K$251,$A10)</f>
        <v>132</v>
      </c>
      <c r="E10" s="38">
        <f>IFERROR(B10/C10,0)</f>
        <v>881.03574468085139</v>
      </c>
      <c r="F10" s="27">
        <f>B10/$B$11</f>
        <v>0.18067207879909844</v>
      </c>
      <c r="G10" s="23">
        <f>RANK(B10,$B$6:$B$10,0)</f>
        <v>3</v>
      </c>
    </row>
    <row r="11" spans="1:7" x14ac:dyDescent="0.25">
      <c r="A11" s="39" t="s">
        <v>87</v>
      </c>
      <c r="B11" s="40">
        <f>SUM(B6:B10)</f>
        <v>229192.47000000006</v>
      </c>
      <c r="C11" s="41">
        <f>SUM(C6:C10)</f>
        <v>250</v>
      </c>
      <c r="D11" s="41">
        <f>SUM(D6:D10)</f>
        <v>753</v>
      </c>
      <c r="E11" s="42">
        <f>B11/C11</f>
        <v>916.76988000000028</v>
      </c>
      <c r="F11" s="43">
        <f>SUM(F6:F10)</f>
        <v>0.99999999999999989</v>
      </c>
      <c r="G11" s="44"/>
    </row>
    <row r="13" spans="1:7" ht="15" customHeight="1" x14ac:dyDescent="0.3">
      <c r="A13" s="21" t="s">
        <v>88</v>
      </c>
    </row>
    <row r="14" spans="1:7" ht="30" customHeight="1" x14ac:dyDescent="0.25">
      <c r="A14" s="22" t="s">
        <v>4</v>
      </c>
      <c r="B14" s="22" t="s">
        <v>27</v>
      </c>
      <c r="C14" s="22" t="s">
        <v>28</v>
      </c>
      <c r="D14" s="22" t="s">
        <v>85</v>
      </c>
      <c r="E14" s="22" t="s">
        <v>58</v>
      </c>
      <c r="F14" s="22" t="s">
        <v>86</v>
      </c>
      <c r="G14" s="22" t="s">
        <v>25</v>
      </c>
    </row>
    <row r="15" spans="1:7" x14ac:dyDescent="0.25">
      <c r="A15" s="24" t="s">
        <v>38</v>
      </c>
      <c r="B15" s="25">
        <f>SUMIFS('Raw Data'!$N$2:$N$251,'Raw Data'!$G$2:$G$251,$A15)</f>
        <v>8338.7399999999961</v>
      </c>
      <c r="C15" s="26">
        <f>COUNTIFS('Raw Data'!$G$2:$G$251,$A15)</f>
        <v>43</v>
      </c>
      <c r="D15" s="26">
        <f>SUMIFS('Raw Data'!$H$2:$H$251,'Raw Data'!$G$2:$G$251,$A15)</f>
        <v>126</v>
      </c>
      <c r="E15" s="38">
        <f>IFERROR(B15/C15,0)</f>
        <v>193.92418604651155</v>
      </c>
      <c r="F15" s="27">
        <f>B15/$B$18</f>
        <v>3.6383132482493821E-2</v>
      </c>
      <c r="G15" s="23">
        <f>RANK(B15,$B$15:$B$17,0)</f>
        <v>3</v>
      </c>
    </row>
    <row r="16" spans="1:7" x14ac:dyDescent="0.25">
      <c r="A16" s="24" t="s">
        <v>40</v>
      </c>
      <c r="B16" s="25">
        <f>SUMIFS('Raw Data'!$N$2:$N$251,'Raw Data'!$G$2:$G$251,$A16)</f>
        <v>171756.05000000013</v>
      </c>
      <c r="C16" s="26">
        <f>COUNTIFS('Raw Data'!$G$2:$G$251,$A16)</f>
        <v>131</v>
      </c>
      <c r="D16" s="26">
        <f>SUMIFS('Raw Data'!$H$2:$H$251,'Raw Data'!$G$2:$G$251,$A16)</f>
        <v>395</v>
      </c>
      <c r="E16" s="38">
        <f>IFERROR(B16/C16,0)</f>
        <v>1311.1148854961841</v>
      </c>
      <c r="F16" s="27">
        <f>B16/$B$18</f>
        <v>0.74939656612627814</v>
      </c>
      <c r="G16" s="23">
        <f>RANK(B16,$B$15:$B$17,0)</f>
        <v>1</v>
      </c>
    </row>
    <row r="17" spans="1:7" x14ac:dyDescent="0.25">
      <c r="A17" s="24" t="s">
        <v>42</v>
      </c>
      <c r="B17" s="25">
        <f>SUMIFS('Raw Data'!$N$2:$N$251,'Raw Data'!$G$2:$G$251,$A17)</f>
        <v>49097.680000000015</v>
      </c>
      <c r="C17" s="26">
        <f>COUNTIFS('Raw Data'!$G$2:$G$251,$A17)</f>
        <v>76</v>
      </c>
      <c r="D17" s="26">
        <f>SUMIFS('Raw Data'!$H$2:$H$251,'Raw Data'!$G$2:$G$251,$A17)</f>
        <v>232</v>
      </c>
      <c r="E17" s="38">
        <f>IFERROR(B17/C17,0)</f>
        <v>646.0221052631581</v>
      </c>
      <c r="F17" s="27">
        <f>B17/$B$18</f>
        <v>0.214220301391228</v>
      </c>
      <c r="G17" s="23">
        <f>RANK(B17,$B$15:$B$17,0)</f>
        <v>2</v>
      </c>
    </row>
    <row r="18" spans="1:7" x14ac:dyDescent="0.25">
      <c r="A18" s="39" t="s">
        <v>87</v>
      </c>
      <c r="B18" s="40">
        <f>SUM(B15:B17)</f>
        <v>229192.47000000015</v>
      </c>
      <c r="C18" s="41">
        <f>SUM(C15:C17)</f>
        <v>250</v>
      </c>
      <c r="D18" s="41">
        <f>SUM(D15:D17)</f>
        <v>753</v>
      </c>
      <c r="E18" s="42">
        <f>B18/C18</f>
        <v>916.76988000000063</v>
      </c>
      <c r="F18" s="43">
        <f>SUM(F15:F17)</f>
        <v>1</v>
      </c>
      <c r="G18" s="44"/>
    </row>
    <row r="20" spans="1:7" ht="15" customHeight="1" x14ac:dyDescent="0.3">
      <c r="A20" s="21" t="s">
        <v>89</v>
      </c>
    </row>
    <row r="21" spans="1:7" ht="30" customHeight="1" x14ac:dyDescent="0.25">
      <c r="A21" s="22" t="s">
        <v>30</v>
      </c>
      <c r="B21" s="22" t="s">
        <v>27</v>
      </c>
      <c r="C21" s="22" t="s">
        <v>28</v>
      </c>
      <c r="D21" s="22" t="s">
        <v>85</v>
      </c>
      <c r="E21" s="22" t="s">
        <v>58</v>
      </c>
      <c r="F21" s="22" t="s">
        <v>86</v>
      </c>
      <c r="G21" s="22" t="s">
        <v>25</v>
      </c>
    </row>
    <row r="22" spans="1:7" x14ac:dyDescent="0.25">
      <c r="A22" s="24" t="s">
        <v>90</v>
      </c>
      <c r="B22" s="25">
        <f>SUMIFS('Raw Data'!$N$2:$N$251,'Raw Data'!$J$2:$J$251,$A22)</f>
        <v>57427.790000000023</v>
      </c>
      <c r="C22" s="26">
        <f>COUNTIFS('Raw Data'!$J$2:$J$251,$A22)</f>
        <v>76</v>
      </c>
      <c r="D22" s="26">
        <f>SUMIFS('Raw Data'!$H$2:$H$251,'Raw Data'!$J$2:$J$251,$A22)</f>
        <v>221</v>
      </c>
      <c r="E22" s="38">
        <f>IFERROR(B22/C22,0)</f>
        <v>755.62881578947395</v>
      </c>
      <c r="F22" s="27">
        <f>B22/$B$26</f>
        <v>0.25056577993160078</v>
      </c>
      <c r="G22" s="23">
        <f>RANK(B22,$B$22:$B$25,0)</f>
        <v>3</v>
      </c>
    </row>
    <row r="23" spans="1:7" x14ac:dyDescent="0.25">
      <c r="A23" s="24" t="s">
        <v>91</v>
      </c>
      <c r="B23" s="25">
        <f>SUMIFS('Raw Data'!$N$2:$N$251,'Raw Data'!$J$2:$J$251,$A23)</f>
        <v>61447.960000000014</v>
      </c>
      <c r="C23" s="26">
        <f>COUNTIFS('Raw Data'!$J$2:$J$251,$A23)</f>
        <v>68</v>
      </c>
      <c r="D23" s="26">
        <f>SUMIFS('Raw Data'!$H$2:$H$251,'Raw Data'!$J$2:$J$251,$A23)</f>
        <v>204</v>
      </c>
      <c r="E23" s="38">
        <f>IFERROR(B23/C23,0)</f>
        <v>903.6464705882355</v>
      </c>
      <c r="F23" s="27">
        <f>B23/$B$26</f>
        <v>0.26810636492551437</v>
      </c>
      <c r="G23" s="23">
        <f>RANK(B23,$B$22:$B$25,0)</f>
        <v>1</v>
      </c>
    </row>
    <row r="24" spans="1:7" x14ac:dyDescent="0.25">
      <c r="A24" s="24" t="s">
        <v>92</v>
      </c>
      <c r="B24" s="25">
        <f>SUMIFS('Raw Data'!$N$2:$N$251,'Raw Data'!$J$2:$J$251,$A24)</f>
        <v>52118.310000000005</v>
      </c>
      <c r="C24" s="26">
        <f>COUNTIFS('Raw Data'!$J$2:$J$251,$A24)</f>
        <v>54</v>
      </c>
      <c r="D24" s="26">
        <f>SUMIFS('Raw Data'!$H$2:$H$251,'Raw Data'!$J$2:$J$251,$A24)</f>
        <v>169</v>
      </c>
      <c r="E24" s="38">
        <f>IFERROR(B24/C24,0)</f>
        <v>965.15388888888901</v>
      </c>
      <c r="F24" s="27">
        <f>B24/$B$26</f>
        <v>0.22739974834251753</v>
      </c>
      <c r="G24" s="23">
        <f>RANK(B24,$B$22:$B$25,0)</f>
        <v>4</v>
      </c>
    </row>
    <row r="25" spans="1:7" x14ac:dyDescent="0.25">
      <c r="A25" s="24" t="s">
        <v>93</v>
      </c>
      <c r="B25" s="25">
        <f>SUMIFS('Raw Data'!$N$2:$N$251,'Raw Data'!$J$2:$J$251,$A25)</f>
        <v>58198.409999999996</v>
      </c>
      <c r="C25" s="26">
        <f>COUNTIFS('Raw Data'!$J$2:$J$251,$A25)</f>
        <v>52</v>
      </c>
      <c r="D25" s="26">
        <f>SUMIFS('Raw Data'!$H$2:$H$251,'Raw Data'!$J$2:$J$251,$A25)</f>
        <v>159</v>
      </c>
      <c r="E25" s="38">
        <f>IFERROR(B25/C25,0)</f>
        <v>1119.2001923076923</v>
      </c>
      <c r="F25" s="27">
        <f>B25/$B$26</f>
        <v>0.25392810680036737</v>
      </c>
      <c r="G25" s="23">
        <f>RANK(B25,$B$22:$B$25,0)</f>
        <v>2</v>
      </c>
    </row>
    <row r="26" spans="1:7" x14ac:dyDescent="0.25">
      <c r="A26" s="39" t="s">
        <v>87</v>
      </c>
      <c r="B26" s="40">
        <f>SUM(B22:B25)</f>
        <v>229192.47000000003</v>
      </c>
      <c r="C26" s="41">
        <f>SUM(C22:C25)</f>
        <v>250</v>
      </c>
      <c r="D26" s="41">
        <f>SUM(D22:D25)</f>
        <v>753</v>
      </c>
      <c r="E26" s="42">
        <f>B26/C26</f>
        <v>916.76988000000017</v>
      </c>
      <c r="F26" s="43">
        <f>SUM(F22:F25)</f>
        <v>1</v>
      </c>
      <c r="G26" s="44"/>
    </row>
    <row r="28" spans="1:7" ht="15" customHeight="1" x14ac:dyDescent="0.3">
      <c r="A28" s="21" t="s">
        <v>94</v>
      </c>
    </row>
    <row r="29" spans="1:7" ht="30" customHeight="1" x14ac:dyDescent="0.25">
      <c r="A29" s="22" t="s">
        <v>32</v>
      </c>
      <c r="B29" s="22" t="s">
        <v>27</v>
      </c>
      <c r="C29" s="22" t="s">
        <v>28</v>
      </c>
      <c r="D29" s="22" t="s">
        <v>85</v>
      </c>
      <c r="E29" s="22" t="s">
        <v>58</v>
      </c>
      <c r="F29" s="22" t="s">
        <v>86</v>
      </c>
      <c r="G29" s="22" t="s">
        <v>25</v>
      </c>
    </row>
    <row r="30" spans="1:7" x14ac:dyDescent="0.25">
      <c r="A30" s="24" t="s">
        <v>95</v>
      </c>
      <c r="B30" s="25">
        <f>SUMIFS('Raw Data'!$N$2:$N$251,'Raw Data'!$L$2:$L$251,$A30)</f>
        <v>62177.810000000019</v>
      </c>
      <c r="C30" s="26">
        <f>COUNTIFS('Raw Data'!$L$2:$L$251,$A30)</f>
        <v>74</v>
      </c>
      <c r="D30" s="26">
        <f>SUMIFS('Raw Data'!$H$2:$H$251,'Raw Data'!$L$2:$L$251,$A30)</f>
        <v>219</v>
      </c>
      <c r="E30" s="38">
        <f>IFERROR(B30/C30,0)</f>
        <v>840.2406756756759</v>
      </c>
      <c r="F30" s="27">
        <f>B30/$B$33</f>
        <v>0.27129080636898756</v>
      </c>
      <c r="G30" s="23">
        <f>RANK(B30,$B$30:$B$32,0)</f>
        <v>3</v>
      </c>
    </row>
    <row r="31" spans="1:7" x14ac:dyDescent="0.25">
      <c r="A31" s="24" t="s">
        <v>96</v>
      </c>
      <c r="B31" s="25">
        <f>SUMIFS('Raw Data'!$N$2:$N$251,'Raw Data'!$L$2:$L$251,$A31)</f>
        <v>82357.540000000037</v>
      </c>
      <c r="C31" s="26">
        <f>COUNTIFS('Raw Data'!$L$2:$L$251,$A31)</f>
        <v>81</v>
      </c>
      <c r="D31" s="26">
        <f>SUMIFS('Raw Data'!$H$2:$H$251,'Raw Data'!$L$2:$L$251,$A31)</f>
        <v>246</v>
      </c>
      <c r="E31" s="38">
        <f>IFERROR(B31/C31,0)</f>
        <v>1016.7597530864202</v>
      </c>
      <c r="F31" s="27">
        <f>B31/$B$33</f>
        <v>0.35933789622320489</v>
      </c>
      <c r="G31" s="23">
        <f>RANK(B31,$B$30:$B$32,0)</f>
        <v>2</v>
      </c>
    </row>
    <row r="32" spans="1:7" x14ac:dyDescent="0.25">
      <c r="A32" s="24" t="s">
        <v>97</v>
      </c>
      <c r="B32" s="25">
        <f>SUMIFS('Raw Data'!$N$2:$N$251,'Raw Data'!$L$2:$L$251,$A32)</f>
        <v>84657.12000000001</v>
      </c>
      <c r="C32" s="26">
        <f>COUNTIFS('Raw Data'!$L$2:$L$251,$A32)</f>
        <v>95</v>
      </c>
      <c r="D32" s="26">
        <f>SUMIFS('Raw Data'!$H$2:$H$251,'Raw Data'!$L$2:$L$251,$A32)</f>
        <v>288</v>
      </c>
      <c r="E32" s="38">
        <f>IFERROR(B32/C32,0)</f>
        <v>891.12757894736853</v>
      </c>
      <c r="F32" s="27">
        <f>B32/$B$33</f>
        <v>0.36937129740780739</v>
      </c>
      <c r="G32" s="23">
        <f>RANK(B32,$B$30:$B$32,0)</f>
        <v>1</v>
      </c>
    </row>
    <row r="33" spans="1:11" x14ac:dyDescent="0.25">
      <c r="A33" s="39" t="s">
        <v>87</v>
      </c>
      <c r="B33" s="40">
        <f>SUM(B30:B32)</f>
        <v>229192.47000000009</v>
      </c>
      <c r="C33" s="41">
        <f>SUM(C30:C32)</f>
        <v>250</v>
      </c>
      <c r="D33" s="41">
        <f>SUM(D30:D32)</f>
        <v>753</v>
      </c>
      <c r="E33" s="42">
        <f>B33/C33</f>
        <v>916.7698800000004</v>
      </c>
      <c r="F33" s="43">
        <f>SUM(F30:F32)</f>
        <v>0.99999999999999978</v>
      </c>
      <c r="G33" s="44"/>
    </row>
    <row r="35" spans="1:11" ht="15" customHeight="1" x14ac:dyDescent="0.3">
      <c r="A35" s="21" t="s">
        <v>98</v>
      </c>
    </row>
    <row r="36" spans="1:11" ht="30" customHeight="1" x14ac:dyDescent="0.25">
      <c r="A36" s="22" t="s">
        <v>36</v>
      </c>
      <c r="B36" s="22" t="s">
        <v>27</v>
      </c>
      <c r="C36" s="22" t="s">
        <v>28</v>
      </c>
      <c r="D36" s="22" t="s">
        <v>85</v>
      </c>
      <c r="E36" s="22" t="s">
        <v>58</v>
      </c>
      <c r="F36" s="22" t="s">
        <v>86</v>
      </c>
      <c r="G36" s="22" t="s">
        <v>25</v>
      </c>
      <c r="H36" s="22" t="s">
        <v>99</v>
      </c>
      <c r="I36" s="22" t="s">
        <v>4</v>
      </c>
      <c r="J36" s="22" t="s">
        <v>100</v>
      </c>
      <c r="K36" s="22" t="s">
        <v>101</v>
      </c>
    </row>
    <row r="37" spans="1:11" x14ac:dyDescent="0.25">
      <c r="A37" s="24" t="s">
        <v>102</v>
      </c>
      <c r="B37" s="25">
        <f>SUMIFS('Raw Data'!$N$2:$N$251,'Raw Data'!$F$2:$F$251,$A37)</f>
        <v>67499.25</v>
      </c>
      <c r="C37" s="26">
        <f>COUNTIFS('Raw Data'!$F$2:$F$251,$A37)</f>
        <v>24</v>
      </c>
      <c r="D37" s="26">
        <f>SUMIFS('Raw Data'!$H$2:$H$251,'Raw Data'!$F$2:$F$251,$A37)</f>
        <v>75</v>
      </c>
      <c r="E37" s="38">
        <f t="shared" ref="E37:E46" si="0">IFERROR(B37/C37,0)</f>
        <v>2812.46875</v>
      </c>
      <c r="F37" s="27">
        <f t="shared" ref="F37:F46" si="1">B37/$B$47</f>
        <v>0.29450902117333966</v>
      </c>
      <c r="G37" s="23">
        <f t="shared" ref="G37:G46" si="2">RANK(B37,$B$37:$B$46,0)</f>
        <v>1</v>
      </c>
      <c r="H37" s="45" t="str">
        <f>INDEX('Raw Data'!$E$2:$E$251,MATCH($A37,'Raw Data'!$F$2:$F$251,0))</f>
        <v>P001</v>
      </c>
      <c r="I37" s="45" t="str">
        <f>INDEX('Raw Data'!$G$2:$G$251,MATCH($A37,'Raw Data'!$F$2:$F$251,0))</f>
        <v>Electronics</v>
      </c>
      <c r="J37" s="45" t="str">
        <f t="shared" ref="J37:J46" si="3">IF(ISNUMBER(FIND(" ",$A37)),UPPER(LEFT($A37,1)&amp;MID($A37,FIND(" ",$A37)+1,1)),UPPER(LEFT($A37,3)))</f>
        <v>LAP</v>
      </c>
      <c r="K37" s="23">
        <f t="shared" ref="K37:K46" si="4">RANK(C37,$C$37:$C$46,0)</f>
        <v>7</v>
      </c>
    </row>
    <row r="38" spans="1:11" x14ac:dyDescent="0.25">
      <c r="A38" s="24" t="s">
        <v>103</v>
      </c>
      <c r="B38" s="25">
        <f>SUMIFS('Raw Data'!$N$2:$N$251,'Raw Data'!$F$2:$F$251,$A38)</f>
        <v>67199.039999999994</v>
      </c>
      <c r="C38" s="26">
        <f>COUNTIFS('Raw Data'!$F$2:$F$251,$A38)</f>
        <v>31</v>
      </c>
      <c r="D38" s="26">
        <f>SUMIFS('Raw Data'!$H$2:$H$251,'Raw Data'!$F$2:$F$251,$A38)</f>
        <v>96</v>
      </c>
      <c r="E38" s="38">
        <f t="shared" si="0"/>
        <v>2167.7109677419353</v>
      </c>
      <c r="F38" s="27">
        <f t="shared" si="1"/>
        <v>0.29319916138606128</v>
      </c>
      <c r="G38" s="23">
        <f t="shared" si="2"/>
        <v>2</v>
      </c>
      <c r="H38" s="45" t="str">
        <f>INDEX('Raw Data'!$E$2:$E$251,MATCH($A38,'Raw Data'!$F$2:$F$251,0))</f>
        <v>P002</v>
      </c>
      <c r="I38" s="45" t="str">
        <f>INDEX('Raw Data'!$G$2:$G$251,MATCH($A38,'Raw Data'!$F$2:$F$251,0))</f>
        <v>Electronics</v>
      </c>
      <c r="J38" s="45" t="str">
        <f t="shared" si="3"/>
        <v>SMA</v>
      </c>
      <c r="K38" s="23">
        <f t="shared" si="4"/>
        <v>3</v>
      </c>
    </row>
    <row r="39" spans="1:11" x14ac:dyDescent="0.25">
      <c r="A39" s="24" t="s">
        <v>104</v>
      </c>
      <c r="B39" s="25">
        <f>SUMIFS('Raw Data'!$N$2:$N$251,'Raw Data'!$F$2:$F$251,$A39)</f>
        <v>7049.5299999999988</v>
      </c>
      <c r="C39" s="26">
        <f>COUNTIFS('Raw Data'!$F$2:$F$251,$A39)</f>
        <v>16</v>
      </c>
      <c r="D39" s="26">
        <f>SUMIFS('Raw Data'!$H$2:$H$251,'Raw Data'!$F$2:$F$251,$A39)</f>
        <v>47</v>
      </c>
      <c r="E39" s="38">
        <f t="shared" si="0"/>
        <v>440.59562499999993</v>
      </c>
      <c r="F39" s="27">
        <f t="shared" si="1"/>
        <v>3.0758122201833247E-2</v>
      </c>
      <c r="G39" s="23">
        <f t="shared" si="2"/>
        <v>8</v>
      </c>
      <c r="H39" s="45" t="str">
        <f>INDEX('Raw Data'!$E$2:$E$251,MATCH($A39,'Raw Data'!$F$2:$F$251,0))</f>
        <v>P003</v>
      </c>
      <c r="I39" s="45" t="str">
        <f>INDEX('Raw Data'!$G$2:$G$251,MATCH($A39,'Raw Data'!$F$2:$F$251,0))</f>
        <v>Electronics</v>
      </c>
      <c r="J39" s="45" t="str">
        <f t="shared" si="3"/>
        <v>HEA</v>
      </c>
      <c r="K39" s="23">
        <f t="shared" si="4"/>
        <v>8</v>
      </c>
    </row>
    <row r="40" spans="1:11" x14ac:dyDescent="0.25">
      <c r="A40" s="24" t="s">
        <v>105</v>
      </c>
      <c r="B40" s="25">
        <f>SUMIFS('Raw Data'!$N$2:$N$251,'Raw Data'!$F$2:$F$251,$A40)</f>
        <v>3119.6099999999992</v>
      </c>
      <c r="C40" s="26">
        <f>COUNTIFS('Raw Data'!$F$2:$F$251,$A40)</f>
        <v>14</v>
      </c>
      <c r="D40" s="26">
        <f>SUMIFS('Raw Data'!$H$2:$H$251,'Raw Data'!$F$2:$F$251,$A40)</f>
        <v>39</v>
      </c>
      <c r="E40" s="38">
        <f t="shared" si="0"/>
        <v>222.82928571428565</v>
      </c>
      <c r="F40" s="27">
        <f t="shared" si="1"/>
        <v>1.3611311052234832E-2</v>
      </c>
      <c r="G40" s="23">
        <f t="shared" si="2"/>
        <v>10</v>
      </c>
      <c r="H40" s="45" t="str">
        <f>INDEX('Raw Data'!$E$2:$E$251,MATCH($A40,'Raw Data'!$F$2:$F$251,0))</f>
        <v>P004</v>
      </c>
      <c r="I40" s="45" t="str">
        <f>INDEX('Raw Data'!$G$2:$G$251,MATCH($A40,'Raw Data'!$F$2:$F$251,0))</f>
        <v>Appliances</v>
      </c>
      <c r="J40" s="45" t="str">
        <f t="shared" si="3"/>
        <v>CM</v>
      </c>
      <c r="K40" s="23">
        <f t="shared" si="4"/>
        <v>10</v>
      </c>
    </row>
    <row r="41" spans="1:11" x14ac:dyDescent="0.25">
      <c r="A41" s="24" t="s">
        <v>106</v>
      </c>
      <c r="B41" s="25">
        <f>SUMIFS('Raw Data'!$N$2:$N$251,'Raw Data'!$F$2:$F$251,$A41)</f>
        <v>5219.1299999999974</v>
      </c>
      <c r="C41" s="26">
        <f>COUNTIFS('Raw Data'!$F$2:$F$251,$A41)</f>
        <v>29</v>
      </c>
      <c r="D41" s="26">
        <f>SUMIFS('Raw Data'!$H$2:$H$251,'Raw Data'!$F$2:$F$251,$A41)</f>
        <v>87</v>
      </c>
      <c r="E41" s="38">
        <f t="shared" si="0"/>
        <v>179.96999999999991</v>
      </c>
      <c r="F41" s="27">
        <f t="shared" si="1"/>
        <v>2.2771821430259024E-2</v>
      </c>
      <c r="G41" s="23">
        <f t="shared" si="2"/>
        <v>9</v>
      </c>
      <c r="H41" s="45" t="str">
        <f>INDEX('Raw Data'!$E$2:$E$251,MATCH($A41,'Raw Data'!$F$2:$F$251,0))</f>
        <v>P005</v>
      </c>
      <c r="I41" s="45" t="str">
        <f>INDEX('Raw Data'!$G$2:$G$251,MATCH($A41,'Raw Data'!$F$2:$F$251,0))</f>
        <v>Appliances</v>
      </c>
      <c r="J41" s="45" t="str">
        <f t="shared" si="3"/>
        <v>BLE</v>
      </c>
      <c r="K41" s="23">
        <f t="shared" si="4"/>
        <v>4</v>
      </c>
    </row>
    <row r="42" spans="1:11" x14ac:dyDescent="0.25">
      <c r="A42" s="24" t="s">
        <v>107</v>
      </c>
      <c r="B42" s="25">
        <f>SUMIFS('Raw Data'!$N$2:$N$251,'Raw Data'!$F$2:$F$251,$A42)</f>
        <v>10399.479999999998</v>
      </c>
      <c r="C42" s="26">
        <f>COUNTIFS('Raw Data'!$F$2:$F$251,$A42)</f>
        <v>15</v>
      </c>
      <c r="D42" s="26">
        <f>SUMIFS('Raw Data'!$H$2:$H$251,'Raw Data'!$F$2:$F$251,$A42)</f>
        <v>52</v>
      </c>
      <c r="E42" s="38">
        <f t="shared" si="0"/>
        <v>693.29866666666646</v>
      </c>
      <c r="F42" s="27">
        <f t="shared" si="1"/>
        <v>4.537444009395248E-2</v>
      </c>
      <c r="G42" s="23">
        <f t="shared" si="2"/>
        <v>6</v>
      </c>
      <c r="H42" s="45" t="str">
        <f>INDEX('Raw Data'!$E$2:$E$251,MATCH($A42,'Raw Data'!$F$2:$F$251,0))</f>
        <v>P006</v>
      </c>
      <c r="I42" s="45" t="str">
        <f>INDEX('Raw Data'!$G$2:$G$251,MATCH($A42,'Raw Data'!$F$2:$F$251,0))</f>
        <v>Furniture</v>
      </c>
      <c r="J42" s="45" t="str">
        <f t="shared" si="3"/>
        <v>OC</v>
      </c>
      <c r="K42" s="23">
        <f t="shared" si="4"/>
        <v>9</v>
      </c>
    </row>
    <row r="43" spans="1:11" x14ac:dyDescent="0.25">
      <c r="A43" s="24" t="s">
        <v>108</v>
      </c>
      <c r="B43" s="25">
        <f>SUMIFS('Raw Data'!$N$2:$N$251,'Raw Data'!$F$2:$F$251,$A43)</f>
        <v>23399.22</v>
      </c>
      <c r="C43" s="26">
        <f>COUNTIFS('Raw Data'!$F$2:$F$251,$A43)</f>
        <v>26</v>
      </c>
      <c r="D43" s="26">
        <f>SUMIFS('Raw Data'!$H$2:$H$251,'Raw Data'!$F$2:$F$251,$A43)</f>
        <v>78</v>
      </c>
      <c r="E43" s="38">
        <f t="shared" si="0"/>
        <v>899.97</v>
      </c>
      <c r="F43" s="27">
        <f t="shared" si="1"/>
        <v>0.10209419183797795</v>
      </c>
      <c r="G43" s="23">
        <f t="shared" si="2"/>
        <v>3</v>
      </c>
      <c r="H43" s="45" t="str">
        <f>INDEX('Raw Data'!$E$2:$E$251,MATCH($A43,'Raw Data'!$F$2:$F$251,0))</f>
        <v>P007</v>
      </c>
      <c r="I43" s="45" t="str">
        <f>INDEX('Raw Data'!$G$2:$G$251,MATCH($A43,'Raw Data'!$F$2:$F$251,0))</f>
        <v>Furniture</v>
      </c>
      <c r="J43" s="45" t="str">
        <f t="shared" si="3"/>
        <v>DES</v>
      </c>
      <c r="K43" s="23">
        <f t="shared" si="4"/>
        <v>5</v>
      </c>
    </row>
    <row r="44" spans="1:11" x14ac:dyDescent="0.25">
      <c r="A44" s="24" t="s">
        <v>109</v>
      </c>
      <c r="B44" s="25">
        <f>SUMIFS('Raw Data'!$N$2:$N$251,'Raw Data'!$F$2:$F$251,$A44)</f>
        <v>15298.979999999994</v>
      </c>
      <c r="C44" s="26">
        <f>COUNTIFS('Raw Data'!$F$2:$F$251,$A44)</f>
        <v>35</v>
      </c>
      <c r="D44" s="26">
        <f>SUMIFS('Raw Data'!$H$2:$H$251,'Raw Data'!$F$2:$F$251,$A44)</f>
        <v>102</v>
      </c>
      <c r="E44" s="38">
        <f t="shared" si="0"/>
        <v>437.11371428571414</v>
      </c>
      <c r="F44" s="27">
        <f t="shared" si="1"/>
        <v>6.6751669459297669E-2</v>
      </c>
      <c r="G44" s="23">
        <f t="shared" si="2"/>
        <v>5</v>
      </c>
      <c r="H44" s="45" t="str">
        <f>INDEX('Raw Data'!$E$2:$E$251,MATCH($A44,'Raw Data'!$F$2:$F$251,0))</f>
        <v>P008</v>
      </c>
      <c r="I44" s="45" t="str">
        <f>INDEX('Raw Data'!$G$2:$G$251,MATCH($A44,'Raw Data'!$F$2:$F$251,0))</f>
        <v>Furniture</v>
      </c>
      <c r="J44" s="45" t="str">
        <f t="shared" si="3"/>
        <v>BOO</v>
      </c>
      <c r="K44" s="23">
        <f t="shared" si="4"/>
        <v>1</v>
      </c>
    </row>
    <row r="45" spans="1:11" x14ac:dyDescent="0.25">
      <c r="A45" s="24" t="s">
        <v>110</v>
      </c>
      <c r="B45" s="25">
        <f>SUMIFS('Raw Data'!$N$2:$N$251,'Raw Data'!$F$2:$F$251,$A45)</f>
        <v>21999.119999999999</v>
      </c>
      <c r="C45" s="26">
        <f>COUNTIFS('Raw Data'!$F$2:$F$251,$A45)</f>
        <v>26</v>
      </c>
      <c r="D45" s="26">
        <f>SUMIFS('Raw Data'!$H$2:$H$251,'Raw Data'!$F$2:$F$251,$A45)</f>
        <v>88</v>
      </c>
      <c r="E45" s="38">
        <f t="shared" si="0"/>
        <v>846.12</v>
      </c>
      <c r="F45" s="27">
        <f t="shared" si="1"/>
        <v>9.5985352398357607E-2</v>
      </c>
      <c r="G45" s="23">
        <f t="shared" si="2"/>
        <v>4</v>
      </c>
      <c r="H45" s="45" t="str">
        <f>INDEX('Raw Data'!$E$2:$E$251,MATCH($A45,'Raw Data'!$F$2:$F$251,0))</f>
        <v>P009</v>
      </c>
      <c r="I45" s="45" t="str">
        <f>INDEX('Raw Data'!$G$2:$G$251,MATCH($A45,'Raw Data'!$F$2:$F$251,0))</f>
        <v>Electronics</v>
      </c>
      <c r="J45" s="45" t="str">
        <f t="shared" si="3"/>
        <v>MON</v>
      </c>
      <c r="K45" s="23">
        <f t="shared" si="4"/>
        <v>5</v>
      </c>
    </row>
    <row r="46" spans="1:11" x14ac:dyDescent="0.25">
      <c r="A46" s="24" t="s">
        <v>111</v>
      </c>
      <c r="B46" s="25">
        <f>SUMIFS('Raw Data'!$N$2:$N$251,'Raw Data'!$F$2:$F$251,$A46)</f>
        <v>8009.1099999999969</v>
      </c>
      <c r="C46" s="26">
        <f>COUNTIFS('Raw Data'!$F$2:$F$251,$A46)</f>
        <v>34</v>
      </c>
      <c r="D46" s="26">
        <f>SUMIFS('Raw Data'!$H$2:$H$251,'Raw Data'!$F$2:$F$251,$A46)</f>
        <v>89</v>
      </c>
      <c r="E46" s="38">
        <f t="shared" si="0"/>
        <v>235.56205882352933</v>
      </c>
      <c r="F46" s="27">
        <f t="shared" si="1"/>
        <v>3.494490896668638E-2</v>
      </c>
      <c r="G46" s="23">
        <f t="shared" si="2"/>
        <v>7</v>
      </c>
      <c r="H46" s="45" t="str">
        <f>INDEX('Raw Data'!$E$2:$E$251,MATCH($A46,'Raw Data'!$F$2:$F$251,0))</f>
        <v>P010</v>
      </c>
      <c r="I46" s="45" t="str">
        <f>INDEX('Raw Data'!$G$2:$G$251,MATCH($A46,'Raw Data'!$F$2:$F$251,0))</f>
        <v>Electronics</v>
      </c>
      <c r="J46" s="45" t="str">
        <f t="shared" si="3"/>
        <v>KEY</v>
      </c>
      <c r="K46" s="23">
        <f t="shared" si="4"/>
        <v>2</v>
      </c>
    </row>
    <row r="47" spans="1:11" x14ac:dyDescent="0.25">
      <c r="A47" s="39" t="s">
        <v>87</v>
      </c>
      <c r="B47" s="40">
        <f>SUM(B37:B46)</f>
        <v>229192.46999999994</v>
      </c>
      <c r="C47" s="41">
        <f>SUM(C37:C46)</f>
        <v>250</v>
      </c>
      <c r="D47" s="41">
        <f>SUM(D37:D46)</f>
        <v>753</v>
      </c>
      <c r="E47" s="42">
        <f>B47/C47</f>
        <v>916.76987999999972</v>
      </c>
      <c r="F47" s="43">
        <f>SUM(F37:F46)</f>
        <v>1.0000000000000002</v>
      </c>
      <c r="G47" s="44"/>
    </row>
    <row r="49" spans="1:11" ht="15" customHeight="1" x14ac:dyDescent="0.3">
      <c r="A49" s="21" t="s">
        <v>112</v>
      </c>
    </row>
    <row r="50" spans="1:11" ht="30" customHeight="1" x14ac:dyDescent="0.25">
      <c r="A50" s="22" t="s">
        <v>2</v>
      </c>
      <c r="B50" s="22" t="s">
        <v>38</v>
      </c>
      <c r="C50" s="22" t="s">
        <v>40</v>
      </c>
      <c r="D50" s="22" t="s">
        <v>42</v>
      </c>
      <c r="E50" s="22" t="s">
        <v>87</v>
      </c>
    </row>
    <row r="51" spans="1:11" x14ac:dyDescent="0.25">
      <c r="A51" s="24" t="s">
        <v>37</v>
      </c>
      <c r="B51" s="25">
        <f>SUMIFS('Raw Data'!$N$2:$N$251,'Raw Data'!$K$2:$K$251,$A51,'Raw Data'!$G$2:$G$251,B$50)</f>
        <v>1999.71</v>
      </c>
      <c r="C51" s="25">
        <f>SUMIFS('Raw Data'!$N$2:$N$251,'Raw Data'!$K$2:$K$251,$A51,'Raw Data'!$G$2:$G$251,C$50)</f>
        <v>24889.329999999998</v>
      </c>
      <c r="D51" s="25">
        <f>SUMIFS('Raw Data'!$N$2:$N$251,'Raw Data'!$K$2:$K$251,$A51,'Raw Data'!$G$2:$G$251,D$50)</f>
        <v>14399.300000000001</v>
      </c>
      <c r="E51" s="40">
        <f>SUM(B51:D51)</f>
        <v>41288.339999999997</v>
      </c>
    </row>
    <row r="52" spans="1:11" x14ac:dyDescent="0.25">
      <c r="A52" s="24" t="s">
        <v>39</v>
      </c>
      <c r="B52" s="25">
        <f>SUMIFS('Raw Data'!$N$2:$N$251,'Raw Data'!$K$2:$K$251,$A52,'Raw Data'!$G$2:$G$251,B$50)</f>
        <v>2239.67</v>
      </c>
      <c r="C52" s="25">
        <f>SUMIFS('Raw Data'!$N$2:$N$251,'Raw Data'!$K$2:$K$251,$A52,'Raw Data'!$G$2:$G$251,C$50)</f>
        <v>50649.009999999995</v>
      </c>
      <c r="D52" s="25">
        <f>SUMIFS('Raw Data'!$N$2:$N$251,'Raw Data'!$K$2:$K$251,$A52,'Raw Data'!$G$2:$G$251,D$50)</f>
        <v>6399.71</v>
      </c>
      <c r="E52" s="40">
        <f>SUM(B52:D52)</f>
        <v>59288.389999999992</v>
      </c>
    </row>
    <row r="53" spans="1:11" x14ac:dyDescent="0.25">
      <c r="A53" s="24" t="s">
        <v>41</v>
      </c>
      <c r="B53" s="25">
        <f>SUMIFS('Raw Data'!$N$2:$N$251,'Raw Data'!$K$2:$K$251,$A53,'Raw Data'!$G$2:$G$251,B$50)</f>
        <v>1119.8399999999999</v>
      </c>
      <c r="C53" s="25">
        <f>SUMIFS('Raw Data'!$N$2:$N$251,'Raw Data'!$K$2:$K$251,$A53,'Raw Data'!$G$2:$G$251,C$50)</f>
        <v>39239.040000000015</v>
      </c>
      <c r="D53" s="25">
        <f>SUMIFS('Raw Data'!$N$2:$N$251,'Raw Data'!$K$2:$K$251,$A53,'Raw Data'!$G$2:$G$251,D$50)</f>
        <v>10449.429999999997</v>
      </c>
      <c r="E53" s="40">
        <f>SUM(B53:D53)</f>
        <v>50808.310000000012</v>
      </c>
    </row>
    <row r="54" spans="1:11" x14ac:dyDescent="0.25">
      <c r="A54" s="24" t="s">
        <v>43</v>
      </c>
      <c r="B54" s="25">
        <f>SUMIFS('Raw Data'!$N$2:$N$251,'Raw Data'!$K$2:$K$251,$A54,'Raw Data'!$G$2:$G$251,B$50)</f>
        <v>1099.83</v>
      </c>
      <c r="C54" s="25">
        <f>SUMIFS('Raw Data'!$N$2:$N$251,'Raw Data'!$K$2:$K$251,$A54,'Raw Data'!$G$2:$G$251,C$50)</f>
        <v>25549.32</v>
      </c>
      <c r="D54" s="25">
        <f>SUMIFS('Raw Data'!$N$2:$N$251,'Raw Data'!$K$2:$K$251,$A54,'Raw Data'!$G$2:$G$251,D$50)</f>
        <v>9749.5999999999985</v>
      </c>
      <c r="E54" s="40">
        <f>SUM(B54:D54)</f>
        <v>36398.75</v>
      </c>
    </row>
    <row r="55" spans="1:11" x14ac:dyDescent="0.25">
      <c r="A55" s="24" t="s">
        <v>44</v>
      </c>
      <c r="B55" s="25">
        <f>SUMIFS('Raw Data'!$N$2:$N$251,'Raw Data'!$K$2:$K$251,$A55,'Raw Data'!$G$2:$G$251,B$50)</f>
        <v>1879.69</v>
      </c>
      <c r="C55" s="25">
        <f>SUMIFS('Raw Data'!$N$2:$N$251,'Raw Data'!$K$2:$K$251,$A55,'Raw Data'!$G$2:$G$251,C$50)</f>
        <v>31429.35</v>
      </c>
      <c r="D55" s="25">
        <f>SUMIFS('Raw Data'!$N$2:$N$251,'Raw Data'!$K$2:$K$251,$A55,'Raw Data'!$G$2:$G$251,D$50)</f>
        <v>8099.6400000000012</v>
      </c>
      <c r="E55" s="40">
        <f>SUM(B55:D55)</f>
        <v>41408.68</v>
      </c>
    </row>
    <row r="56" spans="1:11" x14ac:dyDescent="0.25">
      <c r="A56" s="39" t="s">
        <v>87</v>
      </c>
      <c r="B56" s="40">
        <f>SUM(B51:B55)</f>
        <v>8338.74</v>
      </c>
      <c r="C56" s="40">
        <f>SUM(C51:C55)</f>
        <v>171756.05000000002</v>
      </c>
      <c r="D56" s="40">
        <f>SUM(D51:D55)</f>
        <v>49097.679999999993</v>
      </c>
      <c r="E56" s="40">
        <f>SUM(E51:E55)</f>
        <v>229192.46999999997</v>
      </c>
    </row>
    <row r="58" spans="1:11" ht="15" customHeight="1" x14ac:dyDescent="0.3">
      <c r="A58" s="21" t="s">
        <v>113</v>
      </c>
    </row>
    <row r="59" spans="1:11" ht="30" customHeight="1" x14ac:dyDescent="0.25">
      <c r="A59" s="22" t="s">
        <v>34</v>
      </c>
      <c r="B59" s="22" t="s">
        <v>114</v>
      </c>
      <c r="C59" s="22" t="s">
        <v>27</v>
      </c>
      <c r="D59" s="22" t="s">
        <v>28</v>
      </c>
      <c r="E59" s="22" t="s">
        <v>115</v>
      </c>
      <c r="F59" s="22" t="s">
        <v>116</v>
      </c>
      <c r="G59" s="22" t="s">
        <v>117</v>
      </c>
      <c r="H59" s="22" t="s">
        <v>118</v>
      </c>
      <c r="I59" s="22" t="s">
        <v>119</v>
      </c>
      <c r="J59" s="22" t="s">
        <v>120</v>
      </c>
      <c r="K59" s="22" t="s">
        <v>121</v>
      </c>
    </row>
    <row r="60" spans="1:11" x14ac:dyDescent="0.25">
      <c r="A60" s="28">
        <f>DATE(YEAR(MIN('Raw Data'!$B$2:$B$251)),MONTH(MIN('Raw Data'!$B$2:$B$251)),1)</f>
        <v>45383</v>
      </c>
      <c r="B60" s="46">
        <f t="shared" ref="B60:B72" si="5">EOMONTH(A60,0)</f>
        <v>45412</v>
      </c>
      <c r="C60" s="25">
        <f>SUMIFS('Raw Data'!$N$2:$N$251,'Raw Data'!$B$2:$B$251,"&gt;="&amp;A60,'Raw Data'!$B$2:$B$251,"&lt;="&amp;B60)</f>
        <v>20919.330000000002</v>
      </c>
      <c r="D60" s="26">
        <f>COUNTIFS('Raw Data'!$B$2:$B$251,"&gt;="&amp;A60,'Raw Data'!$B$2:$B$251,"&lt;="&amp;B60)</f>
        <v>21</v>
      </c>
      <c r="E60" s="26">
        <f>SUMIFS('Raw Data'!$H$2:$H$251,'Raw Data'!$B$2:$B$251,"&gt;="&amp;A60,'Raw Data'!$B$2:$B$251,"&lt;="&amp;B60)</f>
        <v>67</v>
      </c>
      <c r="F60" s="47"/>
      <c r="G60" s="25">
        <f>SUM($C$60:C60)</f>
        <v>20919.330000000002</v>
      </c>
      <c r="H60" s="26">
        <f>MIN(B60,MAX('Raw Data'!$B$2:$B$251))-MAX(A60,MIN('Raw Data'!$B$2:$B$251))+1</f>
        <v>20</v>
      </c>
      <c r="I60" s="25">
        <f t="shared" ref="I60:I72" si="6">C60/H60</f>
        <v>1045.9665</v>
      </c>
      <c r="J60" s="23">
        <v>1</v>
      </c>
      <c r="K60" s="45" t="str">
        <f>IF(AND(A60&gt;=MIN('Raw Data'!$B$2:$B$251),B60&lt;=MAX('Raw Data'!$B$2:$B$251)),"Full","Partial")</f>
        <v>Partial</v>
      </c>
    </row>
    <row r="61" spans="1:11" x14ac:dyDescent="0.25">
      <c r="A61" s="28">
        <f t="shared" ref="A61:A72" si="7">EDATE(A60,1)</f>
        <v>45413</v>
      </c>
      <c r="B61" s="46">
        <f t="shared" si="5"/>
        <v>45443</v>
      </c>
      <c r="C61" s="25">
        <f>SUMIFS('Raw Data'!$N$2:$N$251,'Raw Data'!$B$2:$B$251,"&gt;="&amp;A61,'Raw Data'!$B$2:$B$251,"&lt;="&amp;B61)</f>
        <v>17039.349999999999</v>
      </c>
      <c r="D61" s="26">
        <f>COUNTIFS('Raw Data'!$B$2:$B$251,"&gt;="&amp;A61,'Raw Data'!$B$2:$B$251,"&lt;="&amp;B61)</f>
        <v>19</v>
      </c>
      <c r="E61" s="26">
        <f>SUMIFS('Raw Data'!$H$2:$H$251,'Raw Data'!$B$2:$B$251,"&gt;="&amp;A61,'Raw Data'!$B$2:$B$251,"&lt;="&amp;B61)</f>
        <v>65</v>
      </c>
      <c r="F61" s="47">
        <f t="shared" ref="F61:F72" si="8">IFERROR(C61/C60-1,"")</f>
        <v>-0.18547343533468819</v>
      </c>
      <c r="G61" s="25">
        <f>SUM($C$60:C61)</f>
        <v>37958.68</v>
      </c>
      <c r="H61" s="26">
        <f>MIN(B61,MAX('Raw Data'!$B$2:$B$251))-MAX(A61,MIN('Raw Data'!$B$2:$B$251))+1</f>
        <v>31</v>
      </c>
      <c r="I61" s="25">
        <f t="shared" si="6"/>
        <v>549.6564516129032</v>
      </c>
      <c r="J61" s="23">
        <f t="shared" ref="J61:J72" si="9">J60+1</f>
        <v>2</v>
      </c>
      <c r="K61" s="45" t="str">
        <f>IF(AND(A61&gt;=MIN('Raw Data'!$B$2:$B$251),B61&lt;=MAX('Raw Data'!$B$2:$B$251)),"Full","Partial")</f>
        <v>Full</v>
      </c>
    </row>
    <row r="62" spans="1:11" x14ac:dyDescent="0.25">
      <c r="A62" s="28">
        <f t="shared" si="7"/>
        <v>45444</v>
      </c>
      <c r="B62" s="46">
        <f t="shared" si="5"/>
        <v>45473</v>
      </c>
      <c r="C62" s="25">
        <f>SUMIFS('Raw Data'!$N$2:$N$251,'Raw Data'!$B$2:$B$251,"&gt;="&amp;A62,'Raw Data'!$B$2:$B$251,"&lt;="&amp;B62)</f>
        <v>19299.45</v>
      </c>
      <c r="D62" s="26">
        <f>COUNTIFS('Raw Data'!$B$2:$B$251,"&gt;="&amp;A62,'Raw Data'!$B$2:$B$251,"&lt;="&amp;B62)</f>
        <v>19</v>
      </c>
      <c r="E62" s="26">
        <f>SUMIFS('Raw Data'!$H$2:$H$251,'Raw Data'!$B$2:$B$251,"&gt;="&amp;A62,'Raw Data'!$B$2:$B$251,"&lt;="&amp;B62)</f>
        <v>55</v>
      </c>
      <c r="F62" s="47">
        <f t="shared" si="8"/>
        <v>0.13264003615161379</v>
      </c>
      <c r="G62" s="25">
        <f>SUM($C$60:C62)</f>
        <v>57258.130000000005</v>
      </c>
      <c r="H62" s="26">
        <f>MIN(B62,MAX('Raw Data'!$B$2:$B$251))-MAX(A62,MIN('Raw Data'!$B$2:$B$251))+1</f>
        <v>30</v>
      </c>
      <c r="I62" s="25">
        <f t="shared" si="6"/>
        <v>643.31500000000005</v>
      </c>
      <c r="J62" s="23">
        <f t="shared" si="9"/>
        <v>3</v>
      </c>
      <c r="K62" s="45" t="str">
        <f>IF(AND(A62&gt;=MIN('Raw Data'!$B$2:$B$251),B62&lt;=MAX('Raw Data'!$B$2:$B$251)),"Full","Partial")</f>
        <v>Full</v>
      </c>
    </row>
    <row r="63" spans="1:11" x14ac:dyDescent="0.25">
      <c r="A63" s="28">
        <f t="shared" si="7"/>
        <v>45474</v>
      </c>
      <c r="B63" s="46">
        <f t="shared" si="5"/>
        <v>45504</v>
      </c>
      <c r="C63" s="25">
        <f>SUMIFS('Raw Data'!$N$2:$N$251,'Raw Data'!$B$2:$B$251,"&gt;="&amp;A63,'Raw Data'!$B$2:$B$251,"&lt;="&amp;B63)</f>
        <v>18479.399999999994</v>
      </c>
      <c r="D63" s="26">
        <f>COUNTIFS('Raw Data'!$B$2:$B$251,"&gt;="&amp;A63,'Raw Data'!$B$2:$B$251,"&lt;="&amp;B63)</f>
        <v>24</v>
      </c>
      <c r="E63" s="26">
        <f>SUMIFS('Raw Data'!$H$2:$H$251,'Raw Data'!$B$2:$B$251,"&gt;="&amp;A63,'Raw Data'!$B$2:$B$251,"&lt;="&amp;B63)</f>
        <v>60</v>
      </c>
      <c r="F63" s="47">
        <f t="shared" si="8"/>
        <v>-4.2490848184793206E-2</v>
      </c>
      <c r="G63" s="25">
        <f>SUM($C$60:C63)</f>
        <v>75737.53</v>
      </c>
      <c r="H63" s="26">
        <f>MIN(B63,MAX('Raw Data'!$B$2:$B$251))-MAX(A63,MIN('Raw Data'!$B$2:$B$251))+1</f>
        <v>31</v>
      </c>
      <c r="I63" s="25">
        <f t="shared" si="6"/>
        <v>596.10967741935463</v>
      </c>
      <c r="J63" s="23">
        <f t="shared" si="9"/>
        <v>4</v>
      </c>
      <c r="K63" s="45" t="str">
        <f>IF(AND(A63&gt;=MIN('Raw Data'!$B$2:$B$251),B63&lt;=MAX('Raw Data'!$B$2:$B$251)),"Full","Partial")</f>
        <v>Full</v>
      </c>
    </row>
    <row r="64" spans="1:11" x14ac:dyDescent="0.25">
      <c r="A64" s="28">
        <f t="shared" si="7"/>
        <v>45505</v>
      </c>
      <c r="B64" s="46">
        <f t="shared" si="5"/>
        <v>45535</v>
      </c>
      <c r="C64" s="25">
        <f>SUMIFS('Raw Data'!$N$2:$N$251,'Raw Data'!$B$2:$B$251,"&gt;="&amp;A64,'Raw Data'!$B$2:$B$251,"&lt;="&amp;B64)</f>
        <v>15759.429999999997</v>
      </c>
      <c r="D64" s="26">
        <f>COUNTIFS('Raw Data'!$B$2:$B$251,"&gt;="&amp;A64,'Raw Data'!$B$2:$B$251,"&lt;="&amp;B64)</f>
        <v>18</v>
      </c>
      <c r="E64" s="26">
        <f>SUMIFS('Raw Data'!$H$2:$H$251,'Raw Data'!$B$2:$B$251,"&gt;="&amp;A64,'Raw Data'!$B$2:$B$251,"&lt;="&amp;B64)</f>
        <v>57</v>
      </c>
      <c r="F64" s="47">
        <f t="shared" si="8"/>
        <v>-0.14718930268298747</v>
      </c>
      <c r="G64" s="25">
        <f>SUM($C$60:C64)</f>
        <v>91496.959999999992</v>
      </c>
      <c r="H64" s="26">
        <f>MIN(B64,MAX('Raw Data'!$B$2:$B$251))-MAX(A64,MIN('Raw Data'!$B$2:$B$251))+1</f>
        <v>31</v>
      </c>
      <c r="I64" s="25">
        <f t="shared" si="6"/>
        <v>508.36870967741925</v>
      </c>
      <c r="J64" s="23">
        <f t="shared" si="9"/>
        <v>5</v>
      </c>
      <c r="K64" s="45" t="str">
        <f>IF(AND(A64&gt;=MIN('Raw Data'!$B$2:$B$251),B64&lt;=MAX('Raw Data'!$B$2:$B$251)),"Full","Partial")</f>
        <v>Full</v>
      </c>
    </row>
    <row r="65" spans="1:11" x14ac:dyDescent="0.25">
      <c r="A65" s="28">
        <f t="shared" si="7"/>
        <v>45536</v>
      </c>
      <c r="B65" s="46">
        <f t="shared" si="5"/>
        <v>45565</v>
      </c>
      <c r="C65" s="25">
        <f>SUMIFS('Raw Data'!$N$2:$N$251,'Raw Data'!$B$2:$B$251,"&gt;="&amp;A65,'Raw Data'!$B$2:$B$251,"&lt;="&amp;B65)</f>
        <v>12989.509999999997</v>
      </c>
      <c r="D65" s="26">
        <f>COUNTIFS('Raw Data'!$B$2:$B$251,"&gt;="&amp;A65,'Raw Data'!$B$2:$B$251,"&lt;="&amp;B65)</f>
        <v>19</v>
      </c>
      <c r="E65" s="26">
        <f>SUMIFS('Raw Data'!$H$2:$H$251,'Raw Data'!$B$2:$B$251,"&gt;="&amp;A65,'Raw Data'!$B$2:$B$251,"&lt;="&amp;B65)</f>
        <v>49</v>
      </c>
      <c r="F65" s="47">
        <f t="shared" si="8"/>
        <v>-0.17576270207742284</v>
      </c>
      <c r="G65" s="25">
        <f>SUM($C$60:C65)</f>
        <v>104486.46999999999</v>
      </c>
      <c r="H65" s="26">
        <f>MIN(B65,MAX('Raw Data'!$B$2:$B$251))-MAX(A65,MIN('Raw Data'!$B$2:$B$251))+1</f>
        <v>30</v>
      </c>
      <c r="I65" s="25">
        <f t="shared" si="6"/>
        <v>432.98366666666658</v>
      </c>
      <c r="J65" s="23">
        <f t="shared" si="9"/>
        <v>6</v>
      </c>
      <c r="K65" s="45" t="str">
        <f>IF(AND(A65&gt;=MIN('Raw Data'!$B$2:$B$251),B65&lt;=MAX('Raw Data'!$B$2:$B$251)),"Full","Partial")</f>
        <v>Full</v>
      </c>
    </row>
    <row r="66" spans="1:11" x14ac:dyDescent="0.25">
      <c r="A66" s="28">
        <f t="shared" si="7"/>
        <v>45566</v>
      </c>
      <c r="B66" s="46">
        <f t="shared" si="5"/>
        <v>45596</v>
      </c>
      <c r="C66" s="25">
        <f>SUMIFS('Raw Data'!$N$2:$N$251,'Raw Data'!$B$2:$B$251,"&gt;="&amp;A66,'Raw Data'!$B$2:$B$251,"&lt;="&amp;B66)</f>
        <v>20609.52</v>
      </c>
      <c r="D66" s="26">
        <f>COUNTIFS('Raw Data'!$B$2:$B$251,"&gt;="&amp;A66,'Raw Data'!$B$2:$B$251,"&lt;="&amp;B66)</f>
        <v>16</v>
      </c>
      <c r="E66" s="26">
        <f>SUMIFS('Raw Data'!$H$2:$H$251,'Raw Data'!$B$2:$B$251,"&gt;="&amp;A66,'Raw Data'!$B$2:$B$251,"&lt;="&amp;B66)</f>
        <v>48</v>
      </c>
      <c r="F66" s="47">
        <f t="shared" si="8"/>
        <v>0.58662797903847075</v>
      </c>
      <c r="G66" s="25">
        <f>SUM($C$60:C66)</f>
        <v>125095.98999999999</v>
      </c>
      <c r="H66" s="26">
        <f>MIN(B66,MAX('Raw Data'!$B$2:$B$251))-MAX(A66,MIN('Raw Data'!$B$2:$B$251))+1</f>
        <v>31</v>
      </c>
      <c r="I66" s="25">
        <f t="shared" si="6"/>
        <v>664.82322580645166</v>
      </c>
      <c r="J66" s="23">
        <f t="shared" si="9"/>
        <v>7</v>
      </c>
      <c r="K66" s="45" t="str">
        <f>IF(AND(A66&gt;=MIN('Raw Data'!$B$2:$B$251),B66&lt;=MAX('Raw Data'!$B$2:$B$251)),"Full","Partial")</f>
        <v>Full</v>
      </c>
    </row>
    <row r="67" spans="1:11" x14ac:dyDescent="0.25">
      <c r="A67" s="28">
        <f t="shared" si="7"/>
        <v>45597</v>
      </c>
      <c r="B67" s="46">
        <f t="shared" si="5"/>
        <v>45626</v>
      </c>
      <c r="C67" s="25">
        <f>SUMIFS('Raw Data'!$N$2:$N$251,'Raw Data'!$B$2:$B$251,"&gt;="&amp;A67,'Raw Data'!$B$2:$B$251,"&lt;="&amp;B67)</f>
        <v>12309.439999999999</v>
      </c>
      <c r="D67" s="26">
        <f>COUNTIFS('Raw Data'!$B$2:$B$251,"&gt;="&amp;A67,'Raw Data'!$B$2:$B$251,"&lt;="&amp;B67)</f>
        <v>17</v>
      </c>
      <c r="E67" s="26">
        <f>SUMIFS('Raw Data'!$H$2:$H$251,'Raw Data'!$B$2:$B$251,"&gt;="&amp;A67,'Raw Data'!$B$2:$B$251,"&lt;="&amp;B67)</f>
        <v>56</v>
      </c>
      <c r="F67" s="47">
        <f t="shared" si="8"/>
        <v>-0.40273038867474842</v>
      </c>
      <c r="G67" s="25">
        <f>SUM($C$60:C67)</f>
        <v>137405.43</v>
      </c>
      <c r="H67" s="26">
        <f>MIN(B67,MAX('Raw Data'!$B$2:$B$251))-MAX(A67,MIN('Raw Data'!$B$2:$B$251))+1</f>
        <v>30</v>
      </c>
      <c r="I67" s="25">
        <f t="shared" si="6"/>
        <v>410.3146666666666</v>
      </c>
      <c r="J67" s="23">
        <f t="shared" si="9"/>
        <v>8</v>
      </c>
      <c r="K67" s="45" t="str">
        <f>IF(AND(A67&gt;=MIN('Raw Data'!$B$2:$B$251),B67&lt;=MAX('Raw Data'!$B$2:$B$251)),"Full","Partial")</f>
        <v>Full</v>
      </c>
    </row>
    <row r="68" spans="1:11" x14ac:dyDescent="0.25">
      <c r="A68" s="28">
        <f t="shared" si="7"/>
        <v>45627</v>
      </c>
      <c r="B68" s="46">
        <f t="shared" si="5"/>
        <v>45657</v>
      </c>
      <c r="C68" s="25">
        <f>SUMIFS('Raw Data'!$N$2:$N$251,'Raw Data'!$B$2:$B$251,"&gt;="&amp;A68,'Raw Data'!$B$2:$B$251,"&lt;="&amp;B68)</f>
        <v>23039.3</v>
      </c>
      <c r="D68" s="26">
        <f>COUNTIFS('Raw Data'!$B$2:$B$251,"&gt;="&amp;A68,'Raw Data'!$B$2:$B$251,"&lt;="&amp;B68)</f>
        <v>25</v>
      </c>
      <c r="E68" s="26">
        <f>SUMIFS('Raw Data'!$H$2:$H$251,'Raw Data'!$B$2:$B$251,"&gt;="&amp;A68,'Raw Data'!$B$2:$B$251,"&lt;="&amp;B68)</f>
        <v>70</v>
      </c>
      <c r="F68" s="47">
        <f t="shared" si="8"/>
        <v>0.87167734681675224</v>
      </c>
      <c r="G68" s="25">
        <f>SUM($C$60:C68)</f>
        <v>160444.72999999998</v>
      </c>
      <c r="H68" s="26">
        <f>MIN(B68,MAX('Raw Data'!$B$2:$B$251))-MAX(A68,MIN('Raw Data'!$B$2:$B$251))+1</f>
        <v>31</v>
      </c>
      <c r="I68" s="25">
        <f t="shared" si="6"/>
        <v>743.20322580645154</v>
      </c>
      <c r="J68" s="23">
        <f t="shared" si="9"/>
        <v>9</v>
      </c>
      <c r="K68" s="45" t="str">
        <f>IF(AND(A68&gt;=MIN('Raw Data'!$B$2:$B$251),B68&lt;=MAX('Raw Data'!$B$2:$B$251)),"Full","Partial")</f>
        <v>Full</v>
      </c>
    </row>
    <row r="69" spans="1:11" x14ac:dyDescent="0.25">
      <c r="A69" s="28">
        <f t="shared" si="7"/>
        <v>45658</v>
      </c>
      <c r="B69" s="46">
        <f t="shared" si="5"/>
        <v>45688</v>
      </c>
      <c r="C69" s="25">
        <f>SUMIFS('Raw Data'!$N$2:$N$251,'Raw Data'!$B$2:$B$251,"&gt;="&amp;A69,'Raw Data'!$B$2:$B$251,"&lt;="&amp;B69)</f>
        <v>25799.15</v>
      </c>
      <c r="D69" s="26">
        <f>COUNTIFS('Raw Data'!$B$2:$B$251,"&gt;="&amp;A69,'Raw Data'!$B$2:$B$251,"&lt;="&amp;B69)</f>
        <v>26</v>
      </c>
      <c r="E69" s="26">
        <f>SUMIFS('Raw Data'!$H$2:$H$251,'Raw Data'!$B$2:$B$251,"&gt;="&amp;A69,'Raw Data'!$B$2:$B$251,"&lt;="&amp;B69)</f>
        <v>85</v>
      </c>
      <c r="F69" s="47">
        <f t="shared" si="8"/>
        <v>0.11978879566653511</v>
      </c>
      <c r="G69" s="25">
        <f>SUM($C$60:C69)</f>
        <v>186243.87999999998</v>
      </c>
      <c r="H69" s="26">
        <f>MIN(B69,MAX('Raw Data'!$B$2:$B$251))-MAX(A69,MIN('Raw Data'!$B$2:$B$251))+1</f>
        <v>31</v>
      </c>
      <c r="I69" s="25">
        <f t="shared" si="6"/>
        <v>832.23064516129034</v>
      </c>
      <c r="J69" s="23">
        <f t="shared" si="9"/>
        <v>10</v>
      </c>
      <c r="K69" s="45" t="str">
        <f>IF(AND(A69&gt;=MIN('Raw Data'!$B$2:$B$251),B69&lt;=MAX('Raw Data'!$B$2:$B$251)),"Full","Partial")</f>
        <v>Full</v>
      </c>
    </row>
    <row r="70" spans="1:11" x14ac:dyDescent="0.25">
      <c r="A70" s="28">
        <f t="shared" si="7"/>
        <v>45689</v>
      </c>
      <c r="B70" s="46">
        <f t="shared" si="5"/>
        <v>45716</v>
      </c>
      <c r="C70" s="25">
        <f>SUMIFS('Raw Data'!$N$2:$N$251,'Raw Data'!$B$2:$B$251,"&gt;="&amp;A70,'Raw Data'!$B$2:$B$251,"&lt;="&amp;B70)</f>
        <v>16069.379999999997</v>
      </c>
      <c r="D70" s="26">
        <f>COUNTIFS('Raw Data'!$B$2:$B$251,"&gt;="&amp;A70,'Raw Data'!$B$2:$B$251,"&lt;="&amp;B70)</f>
        <v>20</v>
      </c>
      <c r="E70" s="26">
        <f>SUMIFS('Raw Data'!$H$2:$H$251,'Raw Data'!$B$2:$B$251,"&gt;="&amp;A70,'Raw Data'!$B$2:$B$251,"&lt;="&amp;B70)</f>
        <v>62</v>
      </c>
      <c r="F70" s="47">
        <f t="shared" si="8"/>
        <v>-0.37713529321702477</v>
      </c>
      <c r="G70" s="25">
        <f>SUM($C$60:C70)</f>
        <v>202313.25999999998</v>
      </c>
      <c r="H70" s="26">
        <f>MIN(B70,MAX('Raw Data'!$B$2:$B$251))-MAX(A70,MIN('Raw Data'!$B$2:$B$251))+1</f>
        <v>28</v>
      </c>
      <c r="I70" s="25">
        <f t="shared" si="6"/>
        <v>573.90642857142848</v>
      </c>
      <c r="J70" s="23">
        <f t="shared" si="9"/>
        <v>11</v>
      </c>
      <c r="K70" s="45" t="str">
        <f>IF(AND(A70&gt;=MIN('Raw Data'!$B$2:$B$251),B70&lt;=MAX('Raw Data'!$B$2:$B$251)),"Full","Partial")</f>
        <v>Full</v>
      </c>
    </row>
    <row r="71" spans="1:11" x14ac:dyDescent="0.25">
      <c r="A71" s="28">
        <f t="shared" si="7"/>
        <v>45717</v>
      </c>
      <c r="B71" s="46">
        <f t="shared" si="5"/>
        <v>45747</v>
      </c>
      <c r="C71" s="25">
        <f>SUMIFS('Raw Data'!$N$2:$N$251,'Raw Data'!$B$2:$B$251,"&gt;="&amp;A71,'Raw Data'!$B$2:$B$251,"&lt;="&amp;B71)</f>
        <v>19899.379999999997</v>
      </c>
      <c r="D71" s="26">
        <f>COUNTIFS('Raw Data'!$B$2:$B$251,"&gt;="&amp;A71,'Raw Data'!$B$2:$B$251,"&lt;="&amp;B71)</f>
        <v>19</v>
      </c>
      <c r="E71" s="26">
        <f>SUMIFS('Raw Data'!$H$2:$H$251,'Raw Data'!$B$2:$B$251,"&gt;="&amp;A71,'Raw Data'!$B$2:$B$251,"&lt;="&amp;B71)</f>
        <v>62</v>
      </c>
      <c r="F71" s="47">
        <f t="shared" si="8"/>
        <v>0.23834149170658736</v>
      </c>
      <c r="G71" s="25">
        <f>SUM($C$60:C71)</f>
        <v>222212.63999999998</v>
      </c>
      <c r="H71" s="26">
        <f>MIN(B71,MAX('Raw Data'!$B$2:$B$251))-MAX(A71,MIN('Raw Data'!$B$2:$B$251))+1</f>
        <v>31</v>
      </c>
      <c r="I71" s="25">
        <f t="shared" si="6"/>
        <v>641.91548387096771</v>
      </c>
      <c r="J71" s="23">
        <f t="shared" si="9"/>
        <v>12</v>
      </c>
      <c r="K71" s="45" t="str">
        <f>IF(AND(A71&gt;=MIN('Raw Data'!$B$2:$B$251),B71&lt;=MAX('Raw Data'!$B$2:$B$251)),"Full","Partial")</f>
        <v>Full</v>
      </c>
    </row>
    <row r="72" spans="1:11" x14ac:dyDescent="0.25">
      <c r="A72" s="28">
        <f t="shared" si="7"/>
        <v>45748</v>
      </c>
      <c r="B72" s="46">
        <f t="shared" si="5"/>
        <v>45777</v>
      </c>
      <c r="C72" s="25">
        <f>SUMIFS('Raw Data'!$N$2:$N$251,'Raw Data'!$B$2:$B$251,"&gt;="&amp;A72,'Raw Data'!$B$2:$B$251,"&lt;="&amp;B72)</f>
        <v>6979.829999999999</v>
      </c>
      <c r="D72" s="26">
        <f>COUNTIFS('Raw Data'!$B$2:$B$251,"&gt;="&amp;A72,'Raw Data'!$B$2:$B$251,"&lt;="&amp;B72)</f>
        <v>7</v>
      </c>
      <c r="E72" s="26">
        <f>SUMIFS('Raw Data'!$H$2:$H$251,'Raw Data'!$B$2:$B$251,"&gt;="&amp;A72,'Raw Data'!$B$2:$B$251,"&lt;="&amp;B72)</f>
        <v>17</v>
      </c>
      <c r="F72" s="47">
        <f t="shared" si="8"/>
        <v>-0.64924384578816019</v>
      </c>
      <c r="G72" s="25">
        <f>SUM($C$60:C72)</f>
        <v>229192.46999999997</v>
      </c>
      <c r="H72" s="26">
        <f>MIN(B72,MAX('Raw Data'!$B$2:$B$251))-MAX(A72,MIN('Raw Data'!$B$2:$B$251))+1</f>
        <v>11</v>
      </c>
      <c r="I72" s="25">
        <f t="shared" si="6"/>
        <v>634.52999999999986</v>
      </c>
      <c r="J72" s="23">
        <f t="shared" si="9"/>
        <v>13</v>
      </c>
      <c r="K72" s="45" t="str">
        <f>IF(AND(A72&gt;=MIN('Raw Data'!$B$2:$B$251),B72&lt;=MAX('Raw Data'!$B$2:$B$251)),"Full","Partial")</f>
        <v>Partial</v>
      </c>
    </row>
    <row r="73" spans="1:11" x14ac:dyDescent="0.25">
      <c r="A73" s="39" t="s">
        <v>87</v>
      </c>
      <c r="B73" s="44"/>
      <c r="C73" s="40">
        <f>SUM(C60:C72)</f>
        <v>229192.46999999997</v>
      </c>
      <c r="D73" s="41">
        <f>SUM(D60:D72)</f>
        <v>250</v>
      </c>
      <c r="E73" s="41">
        <f>SUM(E60:E72)</f>
        <v>753</v>
      </c>
      <c r="F73" s="44"/>
      <c r="G73" s="44"/>
      <c r="H73" s="44"/>
      <c r="I73" s="44"/>
      <c r="J73" s="44"/>
      <c r="K73" s="44"/>
    </row>
    <row r="74" spans="1:11" x14ac:dyDescent="0.25">
      <c r="A74" s="30"/>
    </row>
  </sheetData>
  <conditionalFormatting sqref="B6:B10">
    <cfRule type="dataBar" priority="2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{3A274111-CCD7-4466-B2FA-D19F81CA98F0}</x14:id>
        </ext>
      </extLst>
    </cfRule>
  </conditionalFormatting>
  <conditionalFormatting sqref="B15:B17">
    <cfRule type="dataBar" priority="3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{A1B2F88F-BABE-4190-BFC5-606D4DA12E18}</x14:id>
        </ext>
      </extLst>
    </cfRule>
  </conditionalFormatting>
  <conditionalFormatting sqref="B22:B25">
    <cfRule type="dataBar" priority="4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{44769435-21CB-4DEB-A8C0-9B4169CBB2F6}</x14:id>
        </ext>
      </extLst>
    </cfRule>
  </conditionalFormatting>
  <conditionalFormatting sqref="B30:B32">
    <cfRule type="dataBar" priority="5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{BA4AF5AA-9217-4A94-9B9D-92AFA644A78E}</x14:id>
        </ext>
      </extLst>
    </cfRule>
  </conditionalFormatting>
  <conditionalFormatting sqref="B37:B46">
    <cfRule type="dataBar" priority="6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{462E4298-B738-4054-8792-7D4390798D1A}</x14:id>
        </ext>
      </extLst>
    </cfRule>
  </conditionalFormatting>
  <conditionalFormatting sqref="B51:D55">
    <cfRule type="colorScale" priority="7">
      <colorScale>
        <cfvo type="min"/>
        <cfvo type="max"/>
        <color rgb="FFFFFFFF"/>
        <color rgb="FF5B9BD5"/>
      </colorScale>
    </cfRule>
  </conditionalFormatting>
  <conditionalFormatting sqref="C60:C72">
    <cfRule type="dataBar" priority="9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{D0B23050-1195-47ED-B566-87F5C3784A2D}</x14:id>
        </ext>
      </extLst>
    </cfRule>
  </conditionalFormatting>
  <conditionalFormatting sqref="F61:F72">
    <cfRule type="iconSet" priority="8">
      <iconSet iconSet="3Arrows">
        <cfvo type="num" val="-10"/>
        <cfvo type="num" val="-0.05"/>
        <cfvo type="num" val="0.05"/>
      </iconSet>
    </cfRule>
  </conditionalFormatting>
  <conditionalFormatting sqref="K60:K72">
    <cfRule type="expression" dxfId="4" priority="10">
      <formula>$K60="Partial"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274111-CCD7-4466-B2FA-D19F81CA98F0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B6:B10</xm:sqref>
        </x14:conditionalFormatting>
        <x14:conditionalFormatting xmlns:xm="http://schemas.microsoft.com/office/excel/2006/main">
          <x14:cfRule type="dataBar" id="{A1B2F88F-BABE-4190-BFC5-606D4DA12E18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B15:B17</xm:sqref>
        </x14:conditionalFormatting>
        <x14:conditionalFormatting xmlns:xm="http://schemas.microsoft.com/office/excel/2006/main">
          <x14:cfRule type="dataBar" id="{44769435-21CB-4DEB-A8C0-9B4169CBB2F6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B22:B25</xm:sqref>
        </x14:conditionalFormatting>
        <x14:conditionalFormatting xmlns:xm="http://schemas.microsoft.com/office/excel/2006/main">
          <x14:cfRule type="dataBar" id="{BA4AF5AA-9217-4A94-9B9D-92AFA644A78E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B30:B32</xm:sqref>
        </x14:conditionalFormatting>
        <x14:conditionalFormatting xmlns:xm="http://schemas.microsoft.com/office/excel/2006/main">
          <x14:cfRule type="dataBar" id="{462E4298-B738-4054-8792-7D4390798D1A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B37:B46</xm:sqref>
        </x14:conditionalFormatting>
        <x14:conditionalFormatting xmlns:xm="http://schemas.microsoft.com/office/excel/2006/main">
          <x14:cfRule type="dataBar" id="{D0B23050-1195-47ED-B566-87F5C3784A2D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C60:C72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  <pageSetUpPr fitToPage="1"/>
  </sheetPr>
  <dimension ref="A1:W72"/>
  <sheetViews>
    <sheetView showGridLines="0" tabSelected="1" zoomScaleNormal="100" workbookViewId="0">
      <selection activeCell="A3" sqref="A3"/>
    </sheetView>
  </sheetViews>
  <sheetFormatPr defaultColWidth="8.6640625" defaultRowHeight="13.2" x14ac:dyDescent="0.25"/>
  <cols>
    <col min="1" max="1" width="36" customWidth="1"/>
    <col min="2" max="2" width="18" customWidth="1"/>
    <col min="3" max="3" width="17" customWidth="1"/>
    <col min="4" max="4" width="14" customWidth="1"/>
    <col min="5" max="5" width="12" customWidth="1"/>
    <col min="6" max="6" width="11" customWidth="1"/>
    <col min="7" max="8" width="14" customWidth="1"/>
    <col min="9" max="10" width="13" customWidth="1"/>
    <col min="11" max="11" width="15" customWidth="1"/>
    <col min="12" max="12" width="12" customWidth="1"/>
    <col min="13" max="13" width="13" customWidth="1"/>
    <col min="14" max="14" width="10" customWidth="1"/>
    <col min="15" max="16" width="12" customWidth="1"/>
    <col min="17" max="17" width="11" customWidth="1"/>
    <col min="18" max="18" width="12" customWidth="1"/>
    <col min="19" max="22" width="9" customWidth="1"/>
    <col min="23" max="23" width="14" customWidth="1"/>
  </cols>
  <sheetData>
    <row r="1" spans="1:8" ht="21" customHeight="1" x14ac:dyDescent="0.4">
      <c r="A1" s="29" t="s">
        <v>122</v>
      </c>
    </row>
    <row r="2" spans="1:8" x14ac:dyDescent="0.25">
      <c r="A2" s="30"/>
    </row>
    <row r="3" spans="1:8" x14ac:dyDescent="0.25">
      <c r="A3" s="48" t="s">
        <v>123</v>
      </c>
      <c r="B3" s="49">
        <v>0.8</v>
      </c>
      <c r="D3" s="48" t="s">
        <v>124</v>
      </c>
      <c r="E3" s="50">
        <f>COUNTIF($P$23:$P$72,"High-Value")</f>
        <v>10</v>
      </c>
      <c r="G3" s="48" t="s">
        <v>125</v>
      </c>
      <c r="H3" s="50">
        <f>COUNTIF($Q$23:$Q$72,"Repeat")</f>
        <v>47</v>
      </c>
    </row>
    <row r="4" spans="1:8" x14ac:dyDescent="0.25">
      <c r="A4" s="48" t="s">
        <v>126</v>
      </c>
      <c r="B4" s="51">
        <f>PERCENTILE($G$23:$G$72,B3)</f>
        <v>6557.8000000000011</v>
      </c>
      <c r="D4" s="48" t="s">
        <v>127</v>
      </c>
      <c r="E4" s="51">
        <f>SUMIF($P$23:$P$72,"High-Value",$G$23:$G$72)</f>
        <v>93867.66</v>
      </c>
      <c r="G4" s="48" t="s">
        <v>128</v>
      </c>
      <c r="H4" s="52">
        <f>H3/COUNTA($A$23:$A$72)</f>
        <v>0.94</v>
      </c>
    </row>
    <row r="5" spans="1:8" x14ac:dyDescent="0.25">
      <c r="A5" s="48" t="s">
        <v>129</v>
      </c>
      <c r="B5" s="53">
        <f>MIN('Raw Data'!$B$2:$B$251)+ROUND((MAX('Raw Data'!$B$2:$B$251)-MIN('Raw Data'!$B$2:$B$251))/2,0)</f>
        <v>45576</v>
      </c>
      <c r="D5" s="48" t="s">
        <v>130</v>
      </c>
      <c r="E5" s="52">
        <f>E4/SUM($G$23:$G$72)</f>
        <v>0.40955821977921003</v>
      </c>
      <c r="G5" s="48" t="s">
        <v>131</v>
      </c>
      <c r="H5" s="50">
        <f>COUNTIF($M$23:$M$72,"Yes")</f>
        <v>47</v>
      </c>
    </row>
    <row r="7" spans="1:8" ht="15" customHeight="1" x14ac:dyDescent="0.3">
      <c r="A7" s="21" t="s">
        <v>132</v>
      </c>
    </row>
    <row r="8" spans="1:8" ht="30" customHeight="1" x14ac:dyDescent="0.25">
      <c r="A8" s="22" t="s">
        <v>25</v>
      </c>
      <c r="B8" s="22" t="s">
        <v>133</v>
      </c>
      <c r="C8" s="22" t="s">
        <v>134</v>
      </c>
      <c r="D8" s="22" t="s">
        <v>27</v>
      </c>
      <c r="E8" s="22" t="s">
        <v>28</v>
      </c>
      <c r="F8" s="22" t="s">
        <v>135</v>
      </c>
      <c r="G8" s="22" t="s">
        <v>136</v>
      </c>
      <c r="H8" s="22" t="s">
        <v>137</v>
      </c>
    </row>
    <row r="9" spans="1:8" x14ac:dyDescent="0.25">
      <c r="A9" s="23">
        <v>1</v>
      </c>
      <c r="B9" s="24" t="str">
        <f t="shared" ref="B9:B18" si="0">INDEX($A$23:$A$72,MATCH($A9,$O$23:$O$72,0))</f>
        <v>CUST025</v>
      </c>
      <c r="C9" s="24" t="str">
        <f t="shared" ref="C9:C18" si="1">INDEX($B$23:$B$72,MATCH($A9,$O$23:$O$72,0))</f>
        <v>Mark Carter</v>
      </c>
      <c r="D9" s="25">
        <f t="shared" ref="D9:D18" si="2">INDEX($G$23:$G$72,MATCH($A9,$O$23:$O$72,0))</f>
        <v>15659.65</v>
      </c>
      <c r="E9" s="26">
        <f t="shared" ref="E9:E18" si="3">INDEX($E$23:$E$72,MATCH($A9,$O$23:$O$72,0))</f>
        <v>12</v>
      </c>
      <c r="F9" s="27">
        <f>D9/'Sales Analysis'!$B$11</f>
        <v>6.8325324998679035E-2</v>
      </c>
      <c r="G9" s="27">
        <f>SUM($F$9:F9)</f>
        <v>6.8325324998679035E-2</v>
      </c>
      <c r="H9" s="45" t="str">
        <f t="shared" ref="H9:H18" si="4">INDEX($P$23:$P$72,MATCH($A9,$O$23:$O$72,0))</f>
        <v>High-Value</v>
      </c>
    </row>
    <row r="10" spans="1:8" x14ac:dyDescent="0.25">
      <c r="A10" s="23">
        <v>2</v>
      </c>
      <c r="B10" s="24" t="str">
        <f t="shared" si="0"/>
        <v>CUST029</v>
      </c>
      <c r="C10" s="24" t="str">
        <f t="shared" si="1"/>
        <v>Edward Mitchell</v>
      </c>
      <c r="D10" s="25">
        <f t="shared" si="2"/>
        <v>11919.769999999999</v>
      </c>
      <c r="E10" s="26">
        <f t="shared" si="3"/>
        <v>6</v>
      </c>
      <c r="F10" s="27">
        <f>D10/'Sales Analysis'!$B$11</f>
        <v>5.2007685941863606E-2</v>
      </c>
      <c r="G10" s="27">
        <f>SUM($F$9:F10)</f>
        <v>0.12033301094054263</v>
      </c>
      <c r="H10" s="45" t="str">
        <f t="shared" si="4"/>
        <v>High-Value</v>
      </c>
    </row>
    <row r="11" spans="1:8" x14ac:dyDescent="0.25">
      <c r="A11" s="23">
        <v>3</v>
      </c>
      <c r="B11" s="24" t="str">
        <f t="shared" si="0"/>
        <v>CUST018</v>
      </c>
      <c r="C11" s="24" t="str">
        <f t="shared" si="1"/>
        <v>Barbara Young</v>
      </c>
      <c r="D11" s="25">
        <f t="shared" si="2"/>
        <v>10649.8</v>
      </c>
      <c r="E11" s="26">
        <f t="shared" si="3"/>
        <v>5</v>
      </c>
      <c r="F11" s="27">
        <f>D11/'Sales Analysis'!$B$11</f>
        <v>4.6466622572722376E-2</v>
      </c>
      <c r="G11" s="27">
        <f>SUM($F$9:F11)</f>
        <v>0.16679963351326502</v>
      </c>
      <c r="H11" s="45" t="str">
        <f t="shared" si="4"/>
        <v>High-Value</v>
      </c>
    </row>
    <row r="12" spans="1:8" x14ac:dyDescent="0.25">
      <c r="A12" s="23">
        <v>4</v>
      </c>
      <c r="B12" s="24" t="str">
        <f t="shared" si="0"/>
        <v>CUST012</v>
      </c>
      <c r="C12" s="24" t="str">
        <f t="shared" si="1"/>
        <v>Patricia Moore</v>
      </c>
      <c r="D12" s="25">
        <f t="shared" si="2"/>
        <v>9799.73</v>
      </c>
      <c r="E12" s="26">
        <f t="shared" si="3"/>
        <v>8</v>
      </c>
      <c r="F12" s="27">
        <f>D12/'Sales Analysis'!$B$11</f>
        <v>4.2757643826605636E-2</v>
      </c>
      <c r="G12" s="27">
        <f>SUM($F$9:F12)</f>
        <v>0.20955727733987065</v>
      </c>
      <c r="H12" s="45" t="str">
        <f t="shared" si="4"/>
        <v>High-Value</v>
      </c>
    </row>
    <row r="13" spans="1:8" x14ac:dyDescent="0.25">
      <c r="A13" s="23">
        <v>5</v>
      </c>
      <c r="B13" s="24" t="str">
        <f t="shared" si="0"/>
        <v>CUST023</v>
      </c>
      <c r="C13" s="24" t="str">
        <f t="shared" si="1"/>
        <v>Paul Baker</v>
      </c>
      <c r="D13" s="25">
        <f t="shared" si="2"/>
        <v>8309.739999999998</v>
      </c>
      <c r="E13" s="26">
        <f t="shared" si="3"/>
        <v>8</v>
      </c>
      <c r="F13" s="27">
        <f>D13/'Sales Analysis'!$B$11</f>
        <v>3.6256601274902253E-2</v>
      </c>
      <c r="G13" s="27">
        <f>SUM($F$9:F13)</f>
        <v>0.24581387861477288</v>
      </c>
      <c r="H13" s="45" t="str">
        <f t="shared" si="4"/>
        <v>High-Value</v>
      </c>
    </row>
    <row r="14" spans="1:8" x14ac:dyDescent="0.25">
      <c r="A14" s="23">
        <v>6</v>
      </c>
      <c r="B14" s="24" t="str">
        <f t="shared" si="0"/>
        <v>CUST024</v>
      </c>
      <c r="C14" s="24" t="str">
        <f t="shared" si="1"/>
        <v>Dorothy Nelson</v>
      </c>
      <c r="D14" s="25">
        <f t="shared" si="2"/>
        <v>8269.7900000000009</v>
      </c>
      <c r="E14" s="26">
        <f t="shared" si="3"/>
        <v>6</v>
      </c>
      <c r="F14" s="27">
        <f>D14/'Sales Analysis'!$B$11</f>
        <v>3.6082293628582118E-2</v>
      </c>
      <c r="G14" s="27">
        <f>SUM($F$9:F14)</f>
        <v>0.281896172243355</v>
      </c>
      <c r="H14" s="45" t="str">
        <f t="shared" si="4"/>
        <v>High-Value</v>
      </c>
    </row>
    <row r="15" spans="1:8" x14ac:dyDescent="0.25">
      <c r="A15" s="23">
        <v>7</v>
      </c>
      <c r="B15" s="24" t="str">
        <f t="shared" si="0"/>
        <v>CUST026</v>
      </c>
      <c r="C15" s="24" t="str">
        <f t="shared" si="1"/>
        <v>Karen Hill</v>
      </c>
      <c r="D15" s="25">
        <f t="shared" si="2"/>
        <v>8009.7699999999995</v>
      </c>
      <c r="E15" s="26">
        <f t="shared" si="3"/>
        <v>8</v>
      </c>
      <c r="F15" s="27">
        <f>D15/'Sales Analysis'!$B$11</f>
        <v>3.4947788642445354E-2</v>
      </c>
      <c r="G15" s="27">
        <f>SUM($F$9:F15)</f>
        <v>0.31684396088580036</v>
      </c>
      <c r="H15" s="45" t="str">
        <f t="shared" si="4"/>
        <v>High-Value</v>
      </c>
    </row>
    <row r="16" spans="1:8" x14ac:dyDescent="0.25">
      <c r="A16" s="23">
        <v>8</v>
      </c>
      <c r="B16" s="24" t="str">
        <f t="shared" si="0"/>
        <v>CUST019</v>
      </c>
      <c r="C16" s="24" t="str">
        <f t="shared" si="1"/>
        <v>Daniel King</v>
      </c>
      <c r="D16" s="25">
        <f t="shared" si="2"/>
        <v>7309.7999999999993</v>
      </c>
      <c r="E16" s="26">
        <f t="shared" si="3"/>
        <v>7</v>
      </c>
      <c r="F16" s="27">
        <f>D16/'Sales Analysis'!$B$11</f>
        <v>3.1893717974242335E-2</v>
      </c>
      <c r="G16" s="27">
        <f>SUM($F$9:F16)</f>
        <v>0.3487376788600427</v>
      </c>
      <c r="H16" s="45" t="str">
        <f t="shared" si="4"/>
        <v>High-Value</v>
      </c>
    </row>
    <row r="17" spans="1:23" x14ac:dyDescent="0.25">
      <c r="A17" s="23">
        <v>9</v>
      </c>
      <c r="B17" s="24" t="str">
        <f t="shared" si="0"/>
        <v>CUST039</v>
      </c>
      <c r="C17" s="24" t="str">
        <f t="shared" si="1"/>
        <v>Lawrence Reed</v>
      </c>
      <c r="D17" s="25">
        <f t="shared" si="2"/>
        <v>6989.7699999999986</v>
      </c>
      <c r="E17" s="26">
        <f t="shared" si="3"/>
        <v>8</v>
      </c>
      <c r="F17" s="27">
        <f>D17/'Sales Analysis'!$B$11</f>
        <v>3.049738065129276E-2</v>
      </c>
      <c r="G17" s="27">
        <f>SUM($F$9:F17)</f>
        <v>0.37923505951133546</v>
      </c>
      <c r="H17" s="45" t="str">
        <f t="shared" si="4"/>
        <v>High-Value</v>
      </c>
    </row>
    <row r="18" spans="1:23" x14ac:dyDescent="0.25">
      <c r="A18" s="23">
        <v>10</v>
      </c>
      <c r="B18" s="24" t="str">
        <f t="shared" si="0"/>
        <v>CUST013</v>
      </c>
      <c r="C18" s="24" t="str">
        <f t="shared" si="1"/>
        <v>Joseph Jackson</v>
      </c>
      <c r="D18" s="25">
        <f t="shared" si="2"/>
        <v>6949.84</v>
      </c>
      <c r="E18" s="26">
        <f t="shared" si="3"/>
        <v>5</v>
      </c>
      <c r="F18" s="27">
        <f>D18/'Sales Analysis'!$B$11</f>
        <v>3.0323160267874412E-2</v>
      </c>
      <c r="G18" s="27">
        <f>SUM($F$9:F18)</f>
        <v>0.40955821977920986</v>
      </c>
      <c r="H18" s="45" t="str">
        <f t="shared" si="4"/>
        <v>High-Value</v>
      </c>
    </row>
    <row r="19" spans="1:23" x14ac:dyDescent="0.25">
      <c r="A19" s="39" t="s">
        <v>138</v>
      </c>
      <c r="B19" s="44"/>
      <c r="C19" s="44"/>
      <c r="D19" s="40">
        <f>SUM(D9:D18)</f>
        <v>93867.66</v>
      </c>
      <c r="E19" s="41">
        <f>SUM(E9:E18)</f>
        <v>73</v>
      </c>
      <c r="F19" s="43">
        <f>SUM(F9:F18)</f>
        <v>0.40955821977920986</v>
      </c>
      <c r="G19" s="44"/>
      <c r="H19" s="44"/>
    </row>
    <row r="21" spans="1:23" ht="15" customHeight="1" x14ac:dyDescent="0.3">
      <c r="A21" s="21" t="s">
        <v>139</v>
      </c>
    </row>
    <row r="22" spans="1:23" ht="30" customHeight="1" x14ac:dyDescent="0.25">
      <c r="A22" s="22" t="s">
        <v>133</v>
      </c>
      <c r="B22" s="22" t="s">
        <v>134</v>
      </c>
      <c r="C22" s="22" t="s">
        <v>140</v>
      </c>
      <c r="D22" s="22" t="s">
        <v>141</v>
      </c>
      <c r="E22" s="22" t="s">
        <v>28</v>
      </c>
      <c r="F22" s="22" t="s">
        <v>115</v>
      </c>
      <c r="G22" s="22" t="s">
        <v>27</v>
      </c>
      <c r="H22" s="22" t="s">
        <v>58</v>
      </c>
      <c r="I22" s="22" t="s">
        <v>142</v>
      </c>
      <c r="J22" s="22" t="s">
        <v>143</v>
      </c>
      <c r="K22" s="22" t="s">
        <v>144</v>
      </c>
      <c r="L22" s="22" t="s">
        <v>145</v>
      </c>
      <c r="M22" s="22" t="s">
        <v>146</v>
      </c>
      <c r="N22" s="22" t="s">
        <v>147</v>
      </c>
      <c r="O22" s="22" t="s">
        <v>148</v>
      </c>
      <c r="P22" s="22" t="s">
        <v>149</v>
      </c>
      <c r="Q22" s="22" t="s">
        <v>150</v>
      </c>
      <c r="R22" s="22" t="s">
        <v>151</v>
      </c>
      <c r="S22" s="22" t="s">
        <v>152</v>
      </c>
      <c r="T22" s="22" t="s">
        <v>153</v>
      </c>
      <c r="U22" s="22" t="s">
        <v>154</v>
      </c>
      <c r="V22" s="22" t="s">
        <v>155</v>
      </c>
      <c r="W22" s="22" t="s">
        <v>156</v>
      </c>
    </row>
    <row r="23" spans="1:23" x14ac:dyDescent="0.25">
      <c r="A23" s="24" t="s">
        <v>157</v>
      </c>
      <c r="B23" s="24" t="str">
        <f>INDEX('Raw Data'!$D$2:$D$251,MATCH($A23,'Raw Data'!$C$2:$C$251,0))</f>
        <v>John Smith</v>
      </c>
      <c r="C23" s="45" t="str">
        <f t="shared" ref="C23:C54" si="5">UPPER(LEFT(B23,1)&amp;MID(B23,FIND(" ",B23)+1,1))</f>
        <v>JS</v>
      </c>
      <c r="D23" s="45" t="str">
        <f t="shared" ref="D23:D54" si="6">UPPER(LEFT(B23,1)&amp;MID(B23,FIND(" ",B23)+1,3))&amp;"-"&amp;TEXT(VALUE(RIGHT(A23,3)),"000")</f>
        <v>JSMI-001</v>
      </c>
      <c r="E23" s="26">
        <f>COUNTIF('Raw Data'!$C$2:$C$251,$A23)</f>
        <v>1</v>
      </c>
      <c r="F23" s="26">
        <f>SUMIF('Raw Data'!$C$2:$C$251,$A23,'Raw Data'!$H$2:$H$251)</f>
        <v>4</v>
      </c>
      <c r="G23" s="25">
        <f>SUMIF('Raw Data'!$C$2:$C$251,$A23,'Raw Data'!$N$2:$N$251)</f>
        <v>599.96</v>
      </c>
      <c r="H23" s="25">
        <f t="shared" ref="H23:H54" si="7">IFERROR(G23/E23,0)</f>
        <v>599.96</v>
      </c>
      <c r="I23" s="46">
        <f>_xlfn.MINIFS('Raw Data'!$B$2:$B$251,'Raw Data'!$C$2:$C$251,$A23)</f>
        <v>45740</v>
      </c>
      <c r="J23" s="46">
        <f>_xlfn.MAXIFS('Raw Data'!$B$2:$B$251,'Raw Data'!$C$2:$C$251,$A23)</f>
        <v>45740</v>
      </c>
      <c r="K23" s="46">
        <f>_xlfn.MINIFS('Raw Data'!$M$2:$M$251,'Raw Data'!$C$2:$C$251,$A23)</f>
        <v>44560</v>
      </c>
      <c r="L23" s="23">
        <f t="shared" ref="L23:L54" ca="1" si="8">DATEDIF(K23,TODAY(),"Y")</f>
        <v>4</v>
      </c>
      <c r="M23" s="45" t="str">
        <f>IF(_xlfn.MAXIFS('Raw Data'!$M$2:$M$251,'Raw Data'!$C$2:$C$251,$A23)-_xlfn.MINIFS('Raw Data'!$M$2:$M$251,'Raw Data'!$C$2:$C$251,$A23)&gt;0,"Yes","No")</f>
        <v>No</v>
      </c>
      <c r="N23" s="23">
        <f t="shared" ref="N23:N54" si="9">RANK(G23,$G$23:$G$72,0)</f>
        <v>47</v>
      </c>
      <c r="O23" s="23">
        <f>N23+COUNTIF($N$23:N23,N23)-1</f>
        <v>47</v>
      </c>
      <c r="P23" s="45" t="str">
        <f t="shared" ref="P23:P54" si="10">IF(G23&gt;=$B$4,"High-Value","Standard")</f>
        <v>Standard</v>
      </c>
      <c r="Q23" s="45" t="str">
        <f t="shared" ref="Q23:Q54" si="11">IF(E23&gt;1,"Repeat","One-time")</f>
        <v>One-time</v>
      </c>
      <c r="R23" s="23">
        <f>RANK(E23,$E$23:$E$72,0)+COUNTIF($E$23:E23,E23)-1</f>
        <v>48</v>
      </c>
      <c r="S23" s="23">
        <f>IF(COUNTIFS('Raw Data'!$C$2:$C$251,$A23,'Raw Data'!$B$2:$B$251,"&lt;="&amp;$B$5)&gt;0,1,0)</f>
        <v>0</v>
      </c>
      <c r="T23" s="23">
        <f>IF(COUNTIFS('Raw Data'!$C$2:$C$251,$A23,'Raw Data'!$B$2:$B$251,"&gt;"&amp;$B$5)&gt;0,1,0)</f>
        <v>1</v>
      </c>
      <c r="U23" s="23" t="str">
        <f>IF(S23=1,SUM($S$23:S23),"")</f>
        <v/>
      </c>
      <c r="V23" s="23">
        <f>IF(T23=1,SUM($T$23:T23),"")</f>
        <v>1</v>
      </c>
      <c r="W23" s="26">
        <f t="shared" ref="W23:W54" ca="1" si="12">TODAY()-J23</f>
        <v>570</v>
      </c>
    </row>
    <row r="24" spans="1:23" x14ac:dyDescent="0.25">
      <c r="A24" s="24" t="s">
        <v>158</v>
      </c>
      <c r="B24" s="24" t="str">
        <f>INDEX('Raw Data'!$D$2:$D$251,MATCH($A24,'Raw Data'!$C$2:$C$251,0))</f>
        <v>Emma Wilson</v>
      </c>
      <c r="C24" s="45" t="str">
        <f t="shared" si="5"/>
        <v>EW</v>
      </c>
      <c r="D24" s="45" t="str">
        <f t="shared" si="6"/>
        <v>EWIL-002</v>
      </c>
      <c r="E24" s="26">
        <f>COUNTIF('Raw Data'!$C$2:$C$251,$A24)</f>
        <v>5</v>
      </c>
      <c r="F24" s="26">
        <f>SUMIF('Raw Data'!$C$2:$C$251,$A24,'Raw Data'!$H$2:$H$251)</f>
        <v>12</v>
      </c>
      <c r="G24" s="25">
        <f>SUMIF('Raw Data'!$C$2:$C$251,$A24,'Raw Data'!$N$2:$N$251)</f>
        <v>1229.8800000000001</v>
      </c>
      <c r="H24" s="25">
        <f t="shared" si="7"/>
        <v>245.97600000000003</v>
      </c>
      <c r="I24" s="46">
        <f>_xlfn.MINIFS('Raw Data'!$B$2:$B$251,'Raw Data'!$C$2:$C$251,$A24)</f>
        <v>45430</v>
      </c>
      <c r="J24" s="46">
        <f>_xlfn.MAXIFS('Raw Data'!$B$2:$B$251,'Raw Data'!$C$2:$C$251,$A24)</f>
        <v>45737</v>
      </c>
      <c r="K24" s="46">
        <f>_xlfn.MINIFS('Raw Data'!$M$2:$M$251,'Raw Data'!$C$2:$C$251,$A24)</f>
        <v>44748</v>
      </c>
      <c r="L24" s="23">
        <f t="shared" ca="1" si="8"/>
        <v>4</v>
      </c>
      <c r="M24" s="45" t="str">
        <f>IF(_xlfn.MAXIFS('Raw Data'!$M$2:$M$251,'Raw Data'!$C$2:$C$251,$A24)-_xlfn.MINIFS('Raw Data'!$M$2:$M$251,'Raw Data'!$C$2:$C$251,$A24)&gt;0,"Yes","No")</f>
        <v>Yes</v>
      </c>
      <c r="N24" s="23">
        <f t="shared" si="9"/>
        <v>44</v>
      </c>
      <c r="O24" s="23">
        <f>N24+COUNTIF($N$23:N24,N24)-1</f>
        <v>44</v>
      </c>
      <c r="P24" s="45" t="str">
        <f t="shared" si="10"/>
        <v>Standard</v>
      </c>
      <c r="Q24" s="45" t="str">
        <f t="shared" si="11"/>
        <v>Repeat</v>
      </c>
      <c r="R24" s="23">
        <f>RANK(E24,$E$23:$E$72,0)+COUNTIF($E$23:E24,E24)-1</f>
        <v>19</v>
      </c>
      <c r="S24" s="23">
        <f>IF(COUNTIFS('Raw Data'!$C$2:$C$251,$A24,'Raw Data'!$B$2:$B$251,"&lt;="&amp;$B$5)&gt;0,1,0)</f>
        <v>1</v>
      </c>
      <c r="T24" s="23">
        <f>IF(COUNTIFS('Raw Data'!$C$2:$C$251,$A24,'Raw Data'!$B$2:$B$251,"&gt;"&amp;$B$5)&gt;0,1,0)</f>
        <v>1</v>
      </c>
      <c r="U24" s="23">
        <f>IF(S24=1,SUM($S$23:S24),"")</f>
        <v>1</v>
      </c>
      <c r="V24" s="23">
        <f>IF(T24=1,SUM($T$23:T24),"")</f>
        <v>2</v>
      </c>
      <c r="W24" s="26">
        <f t="shared" ca="1" si="12"/>
        <v>573</v>
      </c>
    </row>
    <row r="25" spans="1:23" x14ac:dyDescent="0.25">
      <c r="A25" s="24" t="s">
        <v>159</v>
      </c>
      <c r="B25" s="24" t="str">
        <f>INDEX('Raw Data'!$D$2:$D$251,MATCH($A25,'Raw Data'!$C$2:$C$251,0))</f>
        <v>Michael Brown</v>
      </c>
      <c r="C25" s="45" t="str">
        <f t="shared" si="5"/>
        <v>MB</v>
      </c>
      <c r="D25" s="45" t="str">
        <f t="shared" si="6"/>
        <v>MBRO-003</v>
      </c>
      <c r="E25" s="26">
        <f>COUNTIF('Raw Data'!$C$2:$C$251,$A25)</f>
        <v>9</v>
      </c>
      <c r="F25" s="26">
        <f>SUMIF('Raw Data'!$C$2:$C$251,$A25,'Raw Data'!$H$2:$H$251)</f>
        <v>26</v>
      </c>
      <c r="G25" s="25">
        <f>SUMIF('Raw Data'!$C$2:$C$251,$A25,'Raw Data'!$N$2:$N$251)</f>
        <v>6169.7400000000007</v>
      </c>
      <c r="H25" s="25">
        <f t="shared" si="7"/>
        <v>685.52666666666676</v>
      </c>
      <c r="I25" s="46">
        <f>_xlfn.MINIFS('Raw Data'!$B$2:$B$251,'Raw Data'!$C$2:$C$251,$A25)</f>
        <v>45400</v>
      </c>
      <c r="J25" s="46">
        <f>_xlfn.MAXIFS('Raw Data'!$B$2:$B$251,'Raw Data'!$C$2:$C$251,$A25)</f>
        <v>45707</v>
      </c>
      <c r="K25" s="46">
        <f>_xlfn.MINIFS('Raw Data'!$M$2:$M$251,'Raw Data'!$C$2:$C$251,$A25)</f>
        <v>44422</v>
      </c>
      <c r="L25" s="23">
        <f t="shared" ca="1" si="8"/>
        <v>5</v>
      </c>
      <c r="M25" s="45" t="str">
        <f>IF(_xlfn.MAXIFS('Raw Data'!$M$2:$M$251,'Raw Data'!$C$2:$C$251,$A25)-_xlfn.MINIFS('Raw Data'!$M$2:$M$251,'Raw Data'!$C$2:$C$251,$A25)&gt;0,"Yes","No")</f>
        <v>Yes</v>
      </c>
      <c r="N25" s="23">
        <f t="shared" si="9"/>
        <v>14</v>
      </c>
      <c r="O25" s="23">
        <f>N25+COUNTIF($N$23:N25,N25)-1</f>
        <v>14</v>
      </c>
      <c r="P25" s="45" t="str">
        <f t="shared" si="10"/>
        <v>Standard</v>
      </c>
      <c r="Q25" s="45" t="str">
        <f t="shared" si="11"/>
        <v>Repeat</v>
      </c>
      <c r="R25" s="23">
        <f>RANK(E25,$E$23:$E$72,0)+COUNTIF($E$23:E25,E25)-1</f>
        <v>2</v>
      </c>
      <c r="S25" s="23">
        <f>IF(COUNTIFS('Raw Data'!$C$2:$C$251,$A25,'Raw Data'!$B$2:$B$251,"&lt;="&amp;$B$5)&gt;0,1,0)</f>
        <v>1</v>
      </c>
      <c r="T25" s="23">
        <f>IF(COUNTIFS('Raw Data'!$C$2:$C$251,$A25,'Raw Data'!$B$2:$B$251,"&gt;"&amp;$B$5)&gt;0,1,0)</f>
        <v>1</v>
      </c>
      <c r="U25" s="23">
        <f>IF(S25=1,SUM($S$23:S25),"")</f>
        <v>2</v>
      </c>
      <c r="V25" s="23">
        <f>IF(T25=1,SUM($T$23:T25),"")</f>
        <v>3</v>
      </c>
      <c r="W25" s="26">
        <f t="shared" ca="1" si="12"/>
        <v>603</v>
      </c>
    </row>
    <row r="26" spans="1:23" x14ac:dyDescent="0.25">
      <c r="A26" s="24" t="s">
        <v>160</v>
      </c>
      <c r="B26" s="24" t="str">
        <f>INDEX('Raw Data'!$D$2:$D$251,MATCH($A26,'Raw Data'!$C$2:$C$251,0))</f>
        <v>Sarah Davis</v>
      </c>
      <c r="C26" s="45" t="str">
        <f t="shared" si="5"/>
        <v>SD</v>
      </c>
      <c r="D26" s="45" t="str">
        <f t="shared" si="6"/>
        <v>SDAV-004</v>
      </c>
      <c r="E26" s="26">
        <f>COUNTIF('Raw Data'!$C$2:$C$251,$A26)</f>
        <v>5</v>
      </c>
      <c r="F26" s="26">
        <f>SUMIF('Raw Data'!$C$2:$C$251,$A26,'Raw Data'!$H$2:$H$251)</f>
        <v>19</v>
      </c>
      <c r="G26" s="25">
        <f>SUMIF('Raw Data'!$C$2:$C$251,$A26,'Raw Data'!$N$2:$N$251)</f>
        <v>5499.8099999999995</v>
      </c>
      <c r="H26" s="25">
        <f t="shared" si="7"/>
        <v>1099.962</v>
      </c>
      <c r="I26" s="46">
        <f>_xlfn.MINIFS('Raw Data'!$B$2:$B$251,'Raw Data'!$C$2:$C$251,$A26)</f>
        <v>45446</v>
      </c>
      <c r="J26" s="46">
        <f>_xlfn.MAXIFS('Raw Data'!$B$2:$B$251,'Raw Data'!$C$2:$C$251,$A26)</f>
        <v>45619</v>
      </c>
      <c r="K26" s="46">
        <f>_xlfn.MINIFS('Raw Data'!$M$2:$M$251,'Raw Data'!$C$2:$C$251,$A26)</f>
        <v>44458</v>
      </c>
      <c r="L26" s="23">
        <f t="shared" ca="1" si="8"/>
        <v>5</v>
      </c>
      <c r="M26" s="45" t="str">
        <f>IF(_xlfn.MAXIFS('Raw Data'!$M$2:$M$251,'Raw Data'!$C$2:$C$251,$A26)-_xlfn.MINIFS('Raw Data'!$M$2:$M$251,'Raw Data'!$C$2:$C$251,$A26)&gt;0,"Yes","No")</f>
        <v>Yes</v>
      </c>
      <c r="N26" s="23">
        <f t="shared" si="9"/>
        <v>19</v>
      </c>
      <c r="O26" s="23">
        <f>N26+COUNTIF($N$23:N26,N26)-1</f>
        <v>19</v>
      </c>
      <c r="P26" s="45" t="str">
        <f t="shared" si="10"/>
        <v>Standard</v>
      </c>
      <c r="Q26" s="45" t="str">
        <f t="shared" si="11"/>
        <v>Repeat</v>
      </c>
      <c r="R26" s="23">
        <f>RANK(E26,$E$23:$E$72,0)+COUNTIF($E$23:E26,E26)-1</f>
        <v>20</v>
      </c>
      <c r="S26" s="23">
        <f>IF(COUNTIFS('Raw Data'!$C$2:$C$251,$A26,'Raw Data'!$B$2:$B$251,"&lt;="&amp;$B$5)&gt;0,1,0)</f>
        <v>1</v>
      </c>
      <c r="T26" s="23">
        <f>IF(COUNTIFS('Raw Data'!$C$2:$C$251,$A26,'Raw Data'!$B$2:$B$251,"&gt;"&amp;$B$5)&gt;0,1,0)</f>
        <v>1</v>
      </c>
      <c r="U26" s="23">
        <f>IF(S26=1,SUM($S$23:S26),"")</f>
        <v>3</v>
      </c>
      <c r="V26" s="23">
        <f>IF(T26=1,SUM($T$23:T26),"")</f>
        <v>4</v>
      </c>
      <c r="W26" s="26">
        <f t="shared" ca="1" si="12"/>
        <v>691</v>
      </c>
    </row>
    <row r="27" spans="1:23" x14ac:dyDescent="0.25">
      <c r="A27" s="24" t="s">
        <v>161</v>
      </c>
      <c r="B27" s="24" t="str">
        <f>INDEX('Raw Data'!$D$2:$D$251,MATCH($A27,'Raw Data'!$C$2:$C$251,0))</f>
        <v>James Johnson</v>
      </c>
      <c r="C27" s="45" t="str">
        <f t="shared" si="5"/>
        <v>JJ</v>
      </c>
      <c r="D27" s="45" t="str">
        <f t="shared" si="6"/>
        <v>JJOH-005</v>
      </c>
      <c r="E27" s="26">
        <f>COUNTIF('Raw Data'!$C$2:$C$251,$A27)</f>
        <v>1</v>
      </c>
      <c r="F27" s="26">
        <f>SUMIF('Raw Data'!$C$2:$C$251,$A27,'Raw Data'!$H$2:$H$251)</f>
        <v>3</v>
      </c>
      <c r="G27" s="25">
        <f>SUMIF('Raw Data'!$C$2:$C$251,$A27,'Raw Data'!$N$2:$N$251)</f>
        <v>179.97</v>
      </c>
      <c r="H27" s="25">
        <f t="shared" si="7"/>
        <v>179.97</v>
      </c>
      <c r="I27" s="46">
        <f>_xlfn.MINIFS('Raw Data'!$B$2:$B$251,'Raw Data'!$C$2:$C$251,$A27)</f>
        <v>45635</v>
      </c>
      <c r="J27" s="46">
        <f>_xlfn.MAXIFS('Raw Data'!$B$2:$B$251,'Raw Data'!$C$2:$C$251,$A27)</f>
        <v>45635</v>
      </c>
      <c r="K27" s="46">
        <f>_xlfn.MINIFS('Raw Data'!$M$2:$M$251,'Raw Data'!$C$2:$C$251,$A27)</f>
        <v>45052</v>
      </c>
      <c r="L27" s="23">
        <f t="shared" ca="1" si="8"/>
        <v>3</v>
      </c>
      <c r="M27" s="45" t="str">
        <f>IF(_xlfn.MAXIFS('Raw Data'!$M$2:$M$251,'Raw Data'!$C$2:$C$251,$A27)-_xlfn.MINIFS('Raw Data'!$M$2:$M$251,'Raw Data'!$C$2:$C$251,$A27)&gt;0,"Yes","No")</f>
        <v>No</v>
      </c>
      <c r="N27" s="23">
        <f t="shared" si="9"/>
        <v>50</v>
      </c>
      <c r="O27" s="23">
        <f>N27+COUNTIF($N$23:N27,N27)-1</f>
        <v>50</v>
      </c>
      <c r="P27" s="45" t="str">
        <f t="shared" si="10"/>
        <v>Standard</v>
      </c>
      <c r="Q27" s="45" t="str">
        <f t="shared" si="11"/>
        <v>One-time</v>
      </c>
      <c r="R27" s="23">
        <f>RANK(E27,$E$23:$E$72,0)+COUNTIF($E$23:E27,E27)-1</f>
        <v>49</v>
      </c>
      <c r="S27" s="23">
        <f>IF(COUNTIFS('Raw Data'!$C$2:$C$251,$A27,'Raw Data'!$B$2:$B$251,"&lt;="&amp;$B$5)&gt;0,1,0)</f>
        <v>0</v>
      </c>
      <c r="T27" s="23">
        <f>IF(COUNTIFS('Raw Data'!$C$2:$C$251,$A27,'Raw Data'!$B$2:$B$251,"&gt;"&amp;$B$5)&gt;0,1,0)</f>
        <v>1</v>
      </c>
      <c r="U27" s="23" t="str">
        <f>IF(S27=1,SUM($S$23:S27),"")</f>
        <v/>
      </c>
      <c r="V27" s="23">
        <f>IF(T27=1,SUM($T$23:T27),"")</f>
        <v>5</v>
      </c>
      <c r="W27" s="26">
        <f t="shared" ca="1" si="12"/>
        <v>675</v>
      </c>
    </row>
    <row r="28" spans="1:23" x14ac:dyDescent="0.25">
      <c r="A28" s="24" t="s">
        <v>162</v>
      </c>
      <c r="B28" s="24" t="str">
        <f>INDEX('Raw Data'!$D$2:$D$251,MATCH($A28,'Raw Data'!$C$2:$C$251,0))</f>
        <v>Lisa Anderson</v>
      </c>
      <c r="C28" s="45" t="str">
        <f t="shared" si="5"/>
        <v>LA</v>
      </c>
      <c r="D28" s="45" t="str">
        <f t="shared" si="6"/>
        <v>LAND-006</v>
      </c>
      <c r="E28" s="26">
        <f>COUNTIF('Raw Data'!$C$2:$C$251,$A28)</f>
        <v>5</v>
      </c>
      <c r="F28" s="26">
        <f>SUMIF('Raw Data'!$C$2:$C$251,$A28,'Raw Data'!$H$2:$H$251)</f>
        <v>20</v>
      </c>
      <c r="G28" s="25">
        <f>SUMIF('Raw Data'!$C$2:$C$251,$A28,'Raw Data'!$N$2:$N$251)</f>
        <v>2039.8000000000002</v>
      </c>
      <c r="H28" s="25">
        <f t="shared" si="7"/>
        <v>407.96000000000004</v>
      </c>
      <c r="I28" s="46">
        <f>_xlfn.MINIFS('Raw Data'!$B$2:$B$251,'Raw Data'!$C$2:$C$251,$A28)</f>
        <v>45428</v>
      </c>
      <c r="J28" s="46">
        <f>_xlfn.MAXIFS('Raw Data'!$B$2:$B$251,'Raw Data'!$C$2:$C$251,$A28)</f>
        <v>45676</v>
      </c>
      <c r="K28" s="46">
        <f>_xlfn.MINIFS('Raw Data'!$M$2:$M$251,'Raw Data'!$C$2:$C$251,$A28)</f>
        <v>44579</v>
      </c>
      <c r="L28" s="23">
        <f t="shared" ca="1" si="8"/>
        <v>4</v>
      </c>
      <c r="M28" s="45" t="str">
        <f>IF(_xlfn.MAXIFS('Raw Data'!$M$2:$M$251,'Raw Data'!$C$2:$C$251,$A28)-_xlfn.MINIFS('Raw Data'!$M$2:$M$251,'Raw Data'!$C$2:$C$251,$A28)&gt;0,"Yes","No")</f>
        <v>Yes</v>
      </c>
      <c r="N28" s="23">
        <f t="shared" si="9"/>
        <v>36</v>
      </c>
      <c r="O28" s="23">
        <f>N28+COUNTIF($N$23:N28,N28)-1</f>
        <v>36</v>
      </c>
      <c r="P28" s="45" t="str">
        <f t="shared" si="10"/>
        <v>Standard</v>
      </c>
      <c r="Q28" s="45" t="str">
        <f t="shared" si="11"/>
        <v>Repeat</v>
      </c>
      <c r="R28" s="23">
        <f>RANK(E28,$E$23:$E$72,0)+COUNTIF($E$23:E28,E28)-1</f>
        <v>21</v>
      </c>
      <c r="S28" s="23">
        <f>IF(COUNTIFS('Raw Data'!$C$2:$C$251,$A28,'Raw Data'!$B$2:$B$251,"&lt;="&amp;$B$5)&gt;0,1,0)</f>
        <v>1</v>
      </c>
      <c r="T28" s="23">
        <f>IF(COUNTIFS('Raw Data'!$C$2:$C$251,$A28,'Raw Data'!$B$2:$B$251,"&gt;"&amp;$B$5)&gt;0,1,0)</f>
        <v>1</v>
      </c>
      <c r="U28" s="23">
        <f>IF(S28=1,SUM($S$23:S28),"")</f>
        <v>4</v>
      </c>
      <c r="V28" s="23">
        <f>IF(T28=1,SUM($T$23:T28),"")</f>
        <v>6</v>
      </c>
      <c r="W28" s="26">
        <f t="shared" ca="1" si="12"/>
        <v>634</v>
      </c>
    </row>
    <row r="29" spans="1:23" x14ac:dyDescent="0.25">
      <c r="A29" s="24" t="s">
        <v>163</v>
      </c>
      <c r="B29" s="24" t="str">
        <f>INDEX('Raw Data'!$D$2:$D$251,MATCH($A29,'Raw Data'!$C$2:$C$251,0))</f>
        <v>David Martinez</v>
      </c>
      <c r="C29" s="45" t="str">
        <f t="shared" si="5"/>
        <v>DM</v>
      </c>
      <c r="D29" s="45" t="str">
        <f t="shared" si="6"/>
        <v>DMAR-007</v>
      </c>
      <c r="E29" s="26">
        <f>COUNTIF('Raw Data'!$C$2:$C$251,$A29)</f>
        <v>6</v>
      </c>
      <c r="F29" s="26">
        <f>SUMIF('Raw Data'!$C$2:$C$251,$A29,'Raw Data'!$H$2:$H$251)</f>
        <v>16</v>
      </c>
      <c r="G29" s="25">
        <f>SUMIF('Raw Data'!$C$2:$C$251,$A29,'Raw Data'!$N$2:$N$251)</f>
        <v>1809.84</v>
      </c>
      <c r="H29" s="25">
        <f t="shared" si="7"/>
        <v>301.64</v>
      </c>
      <c r="I29" s="46">
        <f>_xlfn.MINIFS('Raw Data'!$B$2:$B$251,'Raw Data'!$C$2:$C$251,$A29)</f>
        <v>45476</v>
      </c>
      <c r="J29" s="46">
        <f>_xlfn.MAXIFS('Raw Data'!$B$2:$B$251,'Raw Data'!$C$2:$C$251,$A29)</f>
        <v>45648</v>
      </c>
      <c r="K29" s="46">
        <f>_xlfn.MINIFS('Raw Data'!$M$2:$M$251,'Raw Data'!$C$2:$C$251,$A29)</f>
        <v>44522</v>
      </c>
      <c r="L29" s="23">
        <f t="shared" ca="1" si="8"/>
        <v>4</v>
      </c>
      <c r="M29" s="45" t="str">
        <f>IF(_xlfn.MAXIFS('Raw Data'!$M$2:$M$251,'Raw Data'!$C$2:$C$251,$A29)-_xlfn.MINIFS('Raw Data'!$M$2:$M$251,'Raw Data'!$C$2:$C$251,$A29)&gt;0,"Yes","No")</f>
        <v>Yes</v>
      </c>
      <c r="N29" s="23">
        <f t="shared" si="9"/>
        <v>39</v>
      </c>
      <c r="O29" s="23">
        <f>N29+COUNTIF($N$23:N29,N29)-1</f>
        <v>39</v>
      </c>
      <c r="P29" s="45" t="str">
        <f t="shared" si="10"/>
        <v>Standard</v>
      </c>
      <c r="Q29" s="45" t="str">
        <f t="shared" si="11"/>
        <v>Repeat</v>
      </c>
      <c r="R29" s="23">
        <f>RANK(E29,$E$23:$E$72,0)+COUNTIF($E$23:E29,E29)-1</f>
        <v>10</v>
      </c>
      <c r="S29" s="23">
        <f>IF(COUNTIFS('Raw Data'!$C$2:$C$251,$A29,'Raw Data'!$B$2:$B$251,"&lt;="&amp;$B$5)&gt;0,1,0)</f>
        <v>1</v>
      </c>
      <c r="T29" s="23">
        <f>IF(COUNTIFS('Raw Data'!$C$2:$C$251,$A29,'Raw Data'!$B$2:$B$251,"&gt;"&amp;$B$5)&gt;0,1,0)</f>
        <v>1</v>
      </c>
      <c r="U29" s="23">
        <f>IF(S29=1,SUM($S$23:S29),"")</f>
        <v>5</v>
      </c>
      <c r="V29" s="23">
        <f>IF(T29=1,SUM($T$23:T29),"")</f>
        <v>7</v>
      </c>
      <c r="W29" s="26">
        <f t="shared" ca="1" si="12"/>
        <v>662</v>
      </c>
    </row>
    <row r="30" spans="1:23" x14ac:dyDescent="0.25">
      <c r="A30" s="24" t="s">
        <v>164</v>
      </c>
      <c r="B30" s="24" t="str">
        <f>INDEX('Raw Data'!$D$2:$D$251,MATCH($A30,'Raw Data'!$C$2:$C$251,0))</f>
        <v>Jennifer Taylor</v>
      </c>
      <c r="C30" s="45" t="str">
        <f t="shared" si="5"/>
        <v>JT</v>
      </c>
      <c r="D30" s="45" t="str">
        <f t="shared" si="6"/>
        <v>JTAY-008</v>
      </c>
      <c r="E30" s="26">
        <f>COUNTIF('Raw Data'!$C$2:$C$251,$A30)</f>
        <v>4</v>
      </c>
      <c r="F30" s="26">
        <f>SUMIF('Raw Data'!$C$2:$C$251,$A30,'Raw Data'!$H$2:$H$251)</f>
        <v>15</v>
      </c>
      <c r="G30" s="25">
        <f>SUMIF('Raw Data'!$C$2:$C$251,$A30,'Raw Data'!$N$2:$N$251)</f>
        <v>4739.8500000000004</v>
      </c>
      <c r="H30" s="25">
        <f t="shared" si="7"/>
        <v>1184.9625000000001</v>
      </c>
      <c r="I30" s="46">
        <f>_xlfn.MINIFS('Raw Data'!$B$2:$B$251,'Raw Data'!$C$2:$C$251,$A30)</f>
        <v>45440</v>
      </c>
      <c r="J30" s="46">
        <f>_xlfn.MAXIFS('Raw Data'!$B$2:$B$251,'Raw Data'!$C$2:$C$251,$A30)</f>
        <v>45635</v>
      </c>
      <c r="K30" s="46">
        <f>_xlfn.MINIFS('Raw Data'!$M$2:$M$251,'Raw Data'!$C$2:$C$251,$A30)</f>
        <v>44407</v>
      </c>
      <c r="L30" s="23">
        <f t="shared" ca="1" si="8"/>
        <v>5</v>
      </c>
      <c r="M30" s="45" t="str">
        <f>IF(_xlfn.MAXIFS('Raw Data'!$M$2:$M$251,'Raw Data'!$C$2:$C$251,$A30)-_xlfn.MINIFS('Raw Data'!$M$2:$M$251,'Raw Data'!$C$2:$C$251,$A30)&gt;0,"Yes","No")</f>
        <v>Yes</v>
      </c>
      <c r="N30" s="23">
        <f t="shared" si="9"/>
        <v>24</v>
      </c>
      <c r="O30" s="23">
        <f>N30+COUNTIF($N$23:N30,N30)-1</f>
        <v>24</v>
      </c>
      <c r="P30" s="45" t="str">
        <f t="shared" si="10"/>
        <v>Standard</v>
      </c>
      <c r="Q30" s="45" t="str">
        <f t="shared" si="11"/>
        <v>Repeat</v>
      </c>
      <c r="R30" s="23">
        <f>RANK(E30,$E$23:$E$72,0)+COUNTIF($E$23:E30,E30)-1</f>
        <v>30</v>
      </c>
      <c r="S30" s="23">
        <f>IF(COUNTIFS('Raw Data'!$C$2:$C$251,$A30,'Raw Data'!$B$2:$B$251,"&lt;="&amp;$B$5)&gt;0,1,0)</f>
        <v>1</v>
      </c>
      <c r="T30" s="23">
        <f>IF(COUNTIFS('Raw Data'!$C$2:$C$251,$A30,'Raw Data'!$B$2:$B$251,"&gt;"&amp;$B$5)&gt;0,1,0)</f>
        <v>1</v>
      </c>
      <c r="U30" s="23">
        <f>IF(S30=1,SUM($S$23:S30),"")</f>
        <v>6</v>
      </c>
      <c r="V30" s="23">
        <f>IF(T30=1,SUM($T$23:T30),"")</f>
        <v>8</v>
      </c>
      <c r="W30" s="26">
        <f t="shared" ca="1" si="12"/>
        <v>675</v>
      </c>
    </row>
    <row r="31" spans="1:23" x14ac:dyDescent="0.25">
      <c r="A31" s="24" t="s">
        <v>165</v>
      </c>
      <c r="B31" s="24" t="str">
        <f>INDEX('Raw Data'!$D$2:$D$251,MATCH($A31,'Raw Data'!$C$2:$C$251,0))</f>
        <v>Robert Thomas</v>
      </c>
      <c r="C31" s="45" t="str">
        <f t="shared" si="5"/>
        <v>RT</v>
      </c>
      <c r="D31" s="45" t="str">
        <f t="shared" si="6"/>
        <v>RTHO-009</v>
      </c>
      <c r="E31" s="26">
        <f>COUNTIF('Raw Data'!$C$2:$C$251,$A31)</f>
        <v>5</v>
      </c>
      <c r="F31" s="26">
        <f>SUMIF('Raw Data'!$C$2:$C$251,$A31,'Raw Data'!$H$2:$H$251)</f>
        <v>10</v>
      </c>
      <c r="G31" s="25">
        <f>SUMIF('Raw Data'!$C$2:$C$251,$A31,'Raw Data'!$N$2:$N$251)</f>
        <v>3509.8999999999996</v>
      </c>
      <c r="H31" s="25">
        <f t="shared" si="7"/>
        <v>701.9799999999999</v>
      </c>
      <c r="I31" s="46">
        <f>_xlfn.MINIFS('Raw Data'!$B$2:$B$251,'Raw Data'!$C$2:$C$251,$A31)</f>
        <v>45405</v>
      </c>
      <c r="J31" s="46">
        <f>_xlfn.MAXIFS('Raw Data'!$B$2:$B$251,'Raw Data'!$C$2:$C$251,$A31)</f>
        <v>45756</v>
      </c>
      <c r="K31" s="46">
        <f>_xlfn.MINIFS('Raw Data'!$M$2:$M$251,'Raw Data'!$C$2:$C$251,$A31)</f>
        <v>44395</v>
      </c>
      <c r="L31" s="23">
        <f t="shared" ca="1" si="8"/>
        <v>5</v>
      </c>
      <c r="M31" s="45" t="str">
        <f>IF(_xlfn.MAXIFS('Raw Data'!$M$2:$M$251,'Raw Data'!$C$2:$C$251,$A31)-_xlfn.MINIFS('Raw Data'!$M$2:$M$251,'Raw Data'!$C$2:$C$251,$A31)&gt;0,"Yes","No")</f>
        <v>Yes</v>
      </c>
      <c r="N31" s="23">
        <f t="shared" si="9"/>
        <v>32</v>
      </c>
      <c r="O31" s="23">
        <f>N31+COUNTIF($N$23:N31,N31)-1</f>
        <v>32</v>
      </c>
      <c r="P31" s="45" t="str">
        <f t="shared" si="10"/>
        <v>Standard</v>
      </c>
      <c r="Q31" s="45" t="str">
        <f t="shared" si="11"/>
        <v>Repeat</v>
      </c>
      <c r="R31" s="23">
        <f>RANK(E31,$E$23:$E$72,0)+COUNTIF($E$23:E31,E31)-1</f>
        <v>22</v>
      </c>
      <c r="S31" s="23">
        <f>IF(COUNTIFS('Raw Data'!$C$2:$C$251,$A31,'Raw Data'!$B$2:$B$251,"&lt;="&amp;$B$5)&gt;0,1,0)</f>
        <v>1</v>
      </c>
      <c r="T31" s="23">
        <f>IF(COUNTIFS('Raw Data'!$C$2:$C$251,$A31,'Raw Data'!$B$2:$B$251,"&gt;"&amp;$B$5)&gt;0,1,0)</f>
        <v>1</v>
      </c>
      <c r="U31" s="23">
        <f>IF(S31=1,SUM($S$23:S31),"")</f>
        <v>7</v>
      </c>
      <c r="V31" s="23">
        <f>IF(T31=1,SUM($T$23:T31),"")</f>
        <v>9</v>
      </c>
      <c r="W31" s="26">
        <f t="shared" ca="1" si="12"/>
        <v>554</v>
      </c>
    </row>
    <row r="32" spans="1:23" x14ac:dyDescent="0.25">
      <c r="A32" s="24" t="s">
        <v>166</v>
      </c>
      <c r="B32" s="24" t="str">
        <f>INDEX('Raw Data'!$D$2:$D$251,MATCH($A32,'Raw Data'!$C$2:$C$251,0))</f>
        <v>Maria Garcia</v>
      </c>
      <c r="C32" s="45" t="str">
        <f t="shared" si="5"/>
        <v>MG</v>
      </c>
      <c r="D32" s="45" t="str">
        <f t="shared" si="6"/>
        <v>MGAR-010</v>
      </c>
      <c r="E32" s="26">
        <f>COUNTIF('Raw Data'!$C$2:$C$251,$A32)</f>
        <v>4</v>
      </c>
      <c r="F32" s="26">
        <f>SUMIF('Raw Data'!$C$2:$C$251,$A32,'Raw Data'!$H$2:$H$251)</f>
        <v>7</v>
      </c>
      <c r="G32" s="25">
        <f>SUMIF('Raw Data'!$C$2:$C$251,$A32,'Raw Data'!$N$2:$N$251)</f>
        <v>1909.93</v>
      </c>
      <c r="H32" s="25">
        <f t="shared" si="7"/>
        <v>477.48250000000002</v>
      </c>
      <c r="I32" s="46">
        <f>_xlfn.MINIFS('Raw Data'!$B$2:$B$251,'Raw Data'!$C$2:$C$251,$A32)</f>
        <v>45410</v>
      </c>
      <c r="J32" s="46">
        <f>_xlfn.MAXIFS('Raw Data'!$B$2:$B$251,'Raw Data'!$C$2:$C$251,$A32)</f>
        <v>45604</v>
      </c>
      <c r="K32" s="46">
        <f>_xlfn.MINIFS('Raw Data'!$M$2:$M$251,'Raw Data'!$C$2:$C$251,$A32)</f>
        <v>44579</v>
      </c>
      <c r="L32" s="23">
        <f t="shared" ca="1" si="8"/>
        <v>4</v>
      </c>
      <c r="M32" s="45" t="str">
        <f>IF(_xlfn.MAXIFS('Raw Data'!$M$2:$M$251,'Raw Data'!$C$2:$C$251,$A32)-_xlfn.MINIFS('Raw Data'!$M$2:$M$251,'Raw Data'!$C$2:$C$251,$A32)&gt;0,"Yes","No")</f>
        <v>Yes</v>
      </c>
      <c r="N32" s="23">
        <f t="shared" si="9"/>
        <v>38</v>
      </c>
      <c r="O32" s="23">
        <f>N32+COUNTIF($N$23:N32,N32)-1</f>
        <v>38</v>
      </c>
      <c r="P32" s="45" t="str">
        <f t="shared" si="10"/>
        <v>Standard</v>
      </c>
      <c r="Q32" s="45" t="str">
        <f t="shared" si="11"/>
        <v>Repeat</v>
      </c>
      <c r="R32" s="23">
        <f>RANK(E32,$E$23:$E$72,0)+COUNTIF($E$23:E32,E32)-1</f>
        <v>31</v>
      </c>
      <c r="S32" s="23">
        <f>IF(COUNTIFS('Raw Data'!$C$2:$C$251,$A32,'Raw Data'!$B$2:$B$251,"&lt;="&amp;$B$5)&gt;0,1,0)</f>
        <v>1</v>
      </c>
      <c r="T32" s="23">
        <f>IF(COUNTIFS('Raw Data'!$C$2:$C$251,$A32,'Raw Data'!$B$2:$B$251,"&gt;"&amp;$B$5)&gt;0,1,0)</f>
        <v>1</v>
      </c>
      <c r="U32" s="23">
        <f>IF(S32=1,SUM($S$23:S32),"")</f>
        <v>8</v>
      </c>
      <c r="V32" s="23">
        <f>IF(T32=1,SUM($T$23:T32),"")</f>
        <v>10</v>
      </c>
      <c r="W32" s="26">
        <f t="shared" ca="1" si="12"/>
        <v>706</v>
      </c>
    </row>
    <row r="33" spans="1:23" x14ac:dyDescent="0.25">
      <c r="A33" s="24" t="s">
        <v>167</v>
      </c>
      <c r="B33" s="24" t="str">
        <f>INDEX('Raw Data'!$D$2:$D$251,MATCH($A33,'Raw Data'!$C$2:$C$251,0))</f>
        <v>William White</v>
      </c>
      <c r="C33" s="45" t="str">
        <f t="shared" si="5"/>
        <v>WW</v>
      </c>
      <c r="D33" s="45" t="str">
        <f t="shared" si="6"/>
        <v>WWHI-011</v>
      </c>
      <c r="E33" s="26">
        <f>COUNTIF('Raw Data'!$C$2:$C$251,$A33)</f>
        <v>3</v>
      </c>
      <c r="F33" s="26">
        <f>SUMIF('Raw Data'!$C$2:$C$251,$A33,'Raw Data'!$H$2:$H$251)</f>
        <v>9</v>
      </c>
      <c r="G33" s="25">
        <f>SUMIF('Raw Data'!$C$2:$C$251,$A33,'Raw Data'!$N$2:$N$251)</f>
        <v>4749.91</v>
      </c>
      <c r="H33" s="25">
        <f t="shared" si="7"/>
        <v>1583.3033333333333</v>
      </c>
      <c r="I33" s="46">
        <f>_xlfn.MINIFS('Raw Data'!$B$2:$B$251,'Raw Data'!$C$2:$C$251,$A33)</f>
        <v>45554</v>
      </c>
      <c r="J33" s="46">
        <f>_xlfn.MAXIFS('Raw Data'!$B$2:$B$251,'Raw Data'!$C$2:$C$251,$A33)</f>
        <v>45686</v>
      </c>
      <c r="K33" s="46">
        <f>_xlfn.MINIFS('Raw Data'!$M$2:$M$251,'Raw Data'!$C$2:$C$251,$A33)</f>
        <v>44482</v>
      </c>
      <c r="L33" s="23">
        <f t="shared" ca="1" si="8"/>
        <v>5</v>
      </c>
      <c r="M33" s="45" t="str">
        <f>IF(_xlfn.MAXIFS('Raw Data'!$M$2:$M$251,'Raw Data'!$C$2:$C$251,$A33)-_xlfn.MINIFS('Raw Data'!$M$2:$M$251,'Raw Data'!$C$2:$C$251,$A33)&gt;0,"Yes","No")</f>
        <v>Yes</v>
      </c>
      <c r="N33" s="23">
        <f t="shared" si="9"/>
        <v>23</v>
      </c>
      <c r="O33" s="23">
        <f>N33+COUNTIF($N$23:N33,N33)-1</f>
        <v>23</v>
      </c>
      <c r="P33" s="45" t="str">
        <f t="shared" si="10"/>
        <v>Standard</v>
      </c>
      <c r="Q33" s="45" t="str">
        <f t="shared" si="11"/>
        <v>Repeat</v>
      </c>
      <c r="R33" s="23">
        <f>RANK(E33,$E$23:$E$72,0)+COUNTIF($E$23:E33,E33)-1</f>
        <v>40</v>
      </c>
      <c r="S33" s="23">
        <f>IF(COUNTIFS('Raw Data'!$C$2:$C$251,$A33,'Raw Data'!$B$2:$B$251,"&lt;="&amp;$B$5)&gt;0,1,0)</f>
        <v>1</v>
      </c>
      <c r="T33" s="23">
        <f>IF(COUNTIFS('Raw Data'!$C$2:$C$251,$A33,'Raw Data'!$B$2:$B$251,"&gt;"&amp;$B$5)&gt;0,1,0)</f>
        <v>1</v>
      </c>
      <c r="U33" s="23">
        <f>IF(S33=1,SUM($S$23:S33),"")</f>
        <v>9</v>
      </c>
      <c r="V33" s="23">
        <f>IF(T33=1,SUM($T$23:T33),"")</f>
        <v>11</v>
      </c>
      <c r="W33" s="26">
        <f t="shared" ca="1" si="12"/>
        <v>624</v>
      </c>
    </row>
    <row r="34" spans="1:23" x14ac:dyDescent="0.25">
      <c r="A34" s="24" t="s">
        <v>168</v>
      </c>
      <c r="B34" s="24" t="str">
        <f>INDEX('Raw Data'!$D$2:$D$251,MATCH($A34,'Raw Data'!$C$2:$C$251,0))</f>
        <v>Patricia Moore</v>
      </c>
      <c r="C34" s="45" t="str">
        <f t="shared" si="5"/>
        <v>PM</v>
      </c>
      <c r="D34" s="45" t="str">
        <f t="shared" si="6"/>
        <v>PMOO-012</v>
      </c>
      <c r="E34" s="26">
        <f>COUNTIF('Raw Data'!$C$2:$C$251,$A34)</f>
        <v>8</v>
      </c>
      <c r="F34" s="26">
        <f>SUMIF('Raw Data'!$C$2:$C$251,$A34,'Raw Data'!$H$2:$H$251)</f>
        <v>27</v>
      </c>
      <c r="G34" s="25">
        <f>SUMIF('Raw Data'!$C$2:$C$251,$A34,'Raw Data'!$N$2:$N$251)</f>
        <v>9799.73</v>
      </c>
      <c r="H34" s="25">
        <f t="shared" si="7"/>
        <v>1224.9662499999999</v>
      </c>
      <c r="I34" s="46">
        <f>_xlfn.MINIFS('Raw Data'!$B$2:$B$251,'Raw Data'!$C$2:$C$251,$A34)</f>
        <v>45413</v>
      </c>
      <c r="J34" s="46">
        <f>_xlfn.MAXIFS('Raw Data'!$B$2:$B$251,'Raw Data'!$C$2:$C$251,$A34)</f>
        <v>45607</v>
      </c>
      <c r="K34" s="46">
        <f>_xlfn.MINIFS('Raw Data'!$M$2:$M$251,'Raw Data'!$C$2:$C$251,$A34)</f>
        <v>44409</v>
      </c>
      <c r="L34" s="23">
        <f t="shared" ca="1" si="8"/>
        <v>5</v>
      </c>
      <c r="M34" s="45" t="str">
        <f>IF(_xlfn.MAXIFS('Raw Data'!$M$2:$M$251,'Raw Data'!$C$2:$C$251,$A34)-_xlfn.MINIFS('Raw Data'!$M$2:$M$251,'Raw Data'!$C$2:$C$251,$A34)&gt;0,"Yes","No")</f>
        <v>Yes</v>
      </c>
      <c r="N34" s="23">
        <f t="shared" si="9"/>
        <v>4</v>
      </c>
      <c r="O34" s="23">
        <f>N34+COUNTIF($N$23:N34,N34)-1</f>
        <v>4</v>
      </c>
      <c r="P34" s="45" t="str">
        <f t="shared" si="10"/>
        <v>High-Value</v>
      </c>
      <c r="Q34" s="45" t="str">
        <f t="shared" si="11"/>
        <v>Repeat</v>
      </c>
      <c r="R34" s="23">
        <f>RANK(E34,$E$23:$E$72,0)+COUNTIF($E$23:E34,E34)-1</f>
        <v>4</v>
      </c>
      <c r="S34" s="23">
        <f>IF(COUNTIFS('Raw Data'!$C$2:$C$251,$A34,'Raw Data'!$B$2:$B$251,"&lt;="&amp;$B$5)&gt;0,1,0)</f>
        <v>1</v>
      </c>
      <c r="T34" s="23">
        <f>IF(COUNTIFS('Raw Data'!$C$2:$C$251,$A34,'Raw Data'!$B$2:$B$251,"&gt;"&amp;$B$5)&gt;0,1,0)</f>
        <v>1</v>
      </c>
      <c r="U34" s="23">
        <f>IF(S34=1,SUM($S$23:S34),"")</f>
        <v>10</v>
      </c>
      <c r="V34" s="23">
        <f>IF(T34=1,SUM($T$23:T34),"")</f>
        <v>12</v>
      </c>
      <c r="W34" s="26">
        <f t="shared" ca="1" si="12"/>
        <v>703</v>
      </c>
    </row>
    <row r="35" spans="1:23" x14ac:dyDescent="0.25">
      <c r="A35" s="24" t="s">
        <v>169</v>
      </c>
      <c r="B35" s="24" t="str">
        <f>INDEX('Raw Data'!$D$2:$D$251,MATCH($A35,'Raw Data'!$C$2:$C$251,0))</f>
        <v>Joseph Jackson</v>
      </c>
      <c r="C35" s="45" t="str">
        <f t="shared" si="5"/>
        <v>JJ</v>
      </c>
      <c r="D35" s="45" t="str">
        <f t="shared" si="6"/>
        <v>JJAC-013</v>
      </c>
      <c r="E35" s="26">
        <f>COUNTIF('Raw Data'!$C$2:$C$251,$A35)</f>
        <v>5</v>
      </c>
      <c r="F35" s="26">
        <f>SUMIF('Raw Data'!$C$2:$C$251,$A35,'Raw Data'!$H$2:$H$251)</f>
        <v>16</v>
      </c>
      <c r="G35" s="25">
        <f>SUMIF('Raw Data'!$C$2:$C$251,$A35,'Raw Data'!$N$2:$N$251)</f>
        <v>6949.84</v>
      </c>
      <c r="H35" s="25">
        <f t="shared" si="7"/>
        <v>1389.9680000000001</v>
      </c>
      <c r="I35" s="46">
        <f>_xlfn.MINIFS('Raw Data'!$B$2:$B$251,'Raw Data'!$C$2:$C$251,$A35)</f>
        <v>45396</v>
      </c>
      <c r="J35" s="46">
        <f>_xlfn.MAXIFS('Raw Data'!$B$2:$B$251,'Raw Data'!$C$2:$C$251,$A35)</f>
        <v>45627</v>
      </c>
      <c r="K35" s="46">
        <f>_xlfn.MINIFS('Raw Data'!$M$2:$M$251,'Raw Data'!$C$2:$C$251,$A35)</f>
        <v>44475</v>
      </c>
      <c r="L35" s="23">
        <f t="shared" ca="1" si="8"/>
        <v>5</v>
      </c>
      <c r="M35" s="45" t="str">
        <f>IF(_xlfn.MAXIFS('Raw Data'!$M$2:$M$251,'Raw Data'!$C$2:$C$251,$A35)-_xlfn.MINIFS('Raw Data'!$M$2:$M$251,'Raw Data'!$C$2:$C$251,$A35)&gt;0,"Yes","No")</f>
        <v>Yes</v>
      </c>
      <c r="N35" s="23">
        <f t="shared" si="9"/>
        <v>10</v>
      </c>
      <c r="O35" s="23">
        <f>N35+COUNTIF($N$23:N35,N35)-1</f>
        <v>10</v>
      </c>
      <c r="P35" s="45" t="str">
        <f t="shared" si="10"/>
        <v>High-Value</v>
      </c>
      <c r="Q35" s="45" t="str">
        <f t="shared" si="11"/>
        <v>Repeat</v>
      </c>
      <c r="R35" s="23">
        <f>RANK(E35,$E$23:$E$72,0)+COUNTIF($E$23:E35,E35)-1</f>
        <v>23</v>
      </c>
      <c r="S35" s="23">
        <f>IF(COUNTIFS('Raw Data'!$C$2:$C$251,$A35,'Raw Data'!$B$2:$B$251,"&lt;="&amp;$B$5)&gt;0,1,0)</f>
        <v>1</v>
      </c>
      <c r="T35" s="23">
        <f>IF(COUNTIFS('Raw Data'!$C$2:$C$251,$A35,'Raw Data'!$B$2:$B$251,"&gt;"&amp;$B$5)&gt;0,1,0)</f>
        <v>1</v>
      </c>
      <c r="U35" s="23">
        <f>IF(S35=1,SUM($S$23:S35),"")</f>
        <v>11</v>
      </c>
      <c r="V35" s="23">
        <f>IF(T35=1,SUM($T$23:T35),"")</f>
        <v>13</v>
      </c>
      <c r="W35" s="26">
        <f t="shared" ca="1" si="12"/>
        <v>683</v>
      </c>
    </row>
    <row r="36" spans="1:23" x14ac:dyDescent="0.25">
      <c r="A36" s="24" t="s">
        <v>170</v>
      </c>
      <c r="B36" s="24" t="str">
        <f>INDEX('Raw Data'!$D$2:$D$251,MATCH($A36,'Raw Data'!$C$2:$C$251,0))</f>
        <v>Linda Martin</v>
      </c>
      <c r="C36" s="45" t="str">
        <f t="shared" si="5"/>
        <v>LM</v>
      </c>
      <c r="D36" s="45" t="str">
        <f t="shared" si="6"/>
        <v>LMAR-014</v>
      </c>
      <c r="E36" s="26">
        <f>COUNTIF('Raw Data'!$C$2:$C$251,$A36)</f>
        <v>4</v>
      </c>
      <c r="F36" s="26">
        <f>SUMIF('Raw Data'!$C$2:$C$251,$A36,'Raw Data'!$H$2:$H$251)</f>
        <v>10</v>
      </c>
      <c r="G36" s="25">
        <f>SUMIF('Raw Data'!$C$2:$C$251,$A36,'Raw Data'!$N$2:$N$251)</f>
        <v>1289.9000000000001</v>
      </c>
      <c r="H36" s="25">
        <f t="shared" si="7"/>
        <v>322.47500000000002</v>
      </c>
      <c r="I36" s="46">
        <f>_xlfn.MINIFS('Raw Data'!$B$2:$B$251,'Raw Data'!$C$2:$C$251,$A36)</f>
        <v>45424</v>
      </c>
      <c r="J36" s="46">
        <f>_xlfn.MAXIFS('Raw Data'!$B$2:$B$251,'Raw Data'!$C$2:$C$251,$A36)</f>
        <v>45648</v>
      </c>
      <c r="K36" s="46">
        <f>_xlfn.MINIFS('Raw Data'!$M$2:$M$251,'Raw Data'!$C$2:$C$251,$A36)</f>
        <v>44886</v>
      </c>
      <c r="L36" s="23">
        <f t="shared" ca="1" si="8"/>
        <v>3</v>
      </c>
      <c r="M36" s="45" t="str">
        <f>IF(_xlfn.MAXIFS('Raw Data'!$M$2:$M$251,'Raw Data'!$C$2:$C$251,$A36)-_xlfn.MINIFS('Raw Data'!$M$2:$M$251,'Raw Data'!$C$2:$C$251,$A36)&gt;0,"Yes","No")</f>
        <v>Yes</v>
      </c>
      <c r="N36" s="23">
        <f t="shared" si="9"/>
        <v>43</v>
      </c>
      <c r="O36" s="23">
        <f>N36+COUNTIF($N$23:N36,N36)-1</f>
        <v>43</v>
      </c>
      <c r="P36" s="45" t="str">
        <f t="shared" si="10"/>
        <v>Standard</v>
      </c>
      <c r="Q36" s="45" t="str">
        <f t="shared" si="11"/>
        <v>Repeat</v>
      </c>
      <c r="R36" s="23">
        <f>RANK(E36,$E$23:$E$72,0)+COUNTIF($E$23:E36,E36)-1</f>
        <v>32</v>
      </c>
      <c r="S36" s="23">
        <f>IF(COUNTIFS('Raw Data'!$C$2:$C$251,$A36,'Raw Data'!$B$2:$B$251,"&lt;="&amp;$B$5)&gt;0,1,0)</f>
        <v>1</v>
      </c>
      <c r="T36" s="23">
        <f>IF(COUNTIFS('Raw Data'!$C$2:$C$251,$A36,'Raw Data'!$B$2:$B$251,"&gt;"&amp;$B$5)&gt;0,1,0)</f>
        <v>1</v>
      </c>
      <c r="U36" s="23">
        <f>IF(S36=1,SUM($S$23:S36),"")</f>
        <v>12</v>
      </c>
      <c r="V36" s="23">
        <f>IF(T36=1,SUM($T$23:T36),"")</f>
        <v>14</v>
      </c>
      <c r="W36" s="26">
        <f t="shared" ca="1" si="12"/>
        <v>662</v>
      </c>
    </row>
    <row r="37" spans="1:23" x14ac:dyDescent="0.25">
      <c r="A37" s="24" t="s">
        <v>171</v>
      </c>
      <c r="B37" s="24" t="str">
        <f>INDEX('Raw Data'!$D$2:$D$251,MATCH($A37,'Raw Data'!$C$2:$C$251,0))</f>
        <v>Richard Lee</v>
      </c>
      <c r="C37" s="45" t="str">
        <f t="shared" si="5"/>
        <v>RL</v>
      </c>
      <c r="D37" s="45" t="str">
        <f t="shared" si="6"/>
        <v>RLEE-015</v>
      </c>
      <c r="E37" s="26">
        <f>COUNTIF('Raw Data'!$C$2:$C$251,$A37)</f>
        <v>3</v>
      </c>
      <c r="F37" s="26">
        <f>SUMIF('Raw Data'!$C$2:$C$251,$A37,'Raw Data'!$H$2:$H$251)</f>
        <v>7</v>
      </c>
      <c r="G37" s="25">
        <f>SUMIF('Raw Data'!$C$2:$C$251,$A37,'Raw Data'!$N$2:$N$251)</f>
        <v>739.93000000000006</v>
      </c>
      <c r="H37" s="25">
        <f t="shared" si="7"/>
        <v>246.64333333333335</v>
      </c>
      <c r="I37" s="46">
        <f>_xlfn.MINIFS('Raw Data'!$B$2:$B$251,'Raw Data'!$C$2:$C$251,$A37)</f>
        <v>45564</v>
      </c>
      <c r="J37" s="46">
        <f>_xlfn.MAXIFS('Raw Data'!$B$2:$B$251,'Raw Data'!$C$2:$C$251,$A37)</f>
        <v>45715</v>
      </c>
      <c r="K37" s="46">
        <f>_xlfn.MINIFS('Raw Data'!$M$2:$M$251,'Raw Data'!$C$2:$C$251,$A37)</f>
        <v>44728</v>
      </c>
      <c r="L37" s="23">
        <f t="shared" ca="1" si="8"/>
        <v>4</v>
      </c>
      <c r="M37" s="45" t="str">
        <f>IF(_xlfn.MAXIFS('Raw Data'!$M$2:$M$251,'Raw Data'!$C$2:$C$251,$A37)-_xlfn.MINIFS('Raw Data'!$M$2:$M$251,'Raw Data'!$C$2:$C$251,$A37)&gt;0,"Yes","No")</f>
        <v>Yes</v>
      </c>
      <c r="N37" s="23">
        <f t="shared" si="9"/>
        <v>46</v>
      </c>
      <c r="O37" s="23">
        <f>N37+COUNTIF($N$23:N37,N37)-1</f>
        <v>46</v>
      </c>
      <c r="P37" s="45" t="str">
        <f t="shared" si="10"/>
        <v>Standard</v>
      </c>
      <c r="Q37" s="45" t="str">
        <f t="shared" si="11"/>
        <v>Repeat</v>
      </c>
      <c r="R37" s="23">
        <f>RANK(E37,$E$23:$E$72,0)+COUNTIF($E$23:E37,E37)-1</f>
        <v>41</v>
      </c>
      <c r="S37" s="23">
        <f>IF(COUNTIFS('Raw Data'!$C$2:$C$251,$A37,'Raw Data'!$B$2:$B$251,"&lt;="&amp;$B$5)&gt;0,1,0)</f>
        <v>1</v>
      </c>
      <c r="T37" s="23">
        <f>IF(COUNTIFS('Raw Data'!$C$2:$C$251,$A37,'Raw Data'!$B$2:$B$251,"&gt;"&amp;$B$5)&gt;0,1,0)</f>
        <v>1</v>
      </c>
      <c r="U37" s="23">
        <f>IF(S37=1,SUM($S$23:S37),"")</f>
        <v>13</v>
      </c>
      <c r="V37" s="23">
        <f>IF(T37=1,SUM($T$23:T37),"")</f>
        <v>15</v>
      </c>
      <c r="W37" s="26">
        <f t="shared" ca="1" si="12"/>
        <v>595</v>
      </c>
    </row>
    <row r="38" spans="1:23" x14ac:dyDescent="0.25">
      <c r="A38" s="24" t="s">
        <v>172</v>
      </c>
      <c r="B38" s="24" t="str">
        <f>INDEX('Raw Data'!$D$2:$D$251,MATCH($A38,'Raw Data'!$C$2:$C$251,0))</f>
        <v>Elizabeth Hall</v>
      </c>
      <c r="C38" s="45" t="str">
        <f t="shared" si="5"/>
        <v>EH</v>
      </c>
      <c r="D38" s="45" t="str">
        <f t="shared" si="6"/>
        <v>EHAL-016</v>
      </c>
      <c r="E38" s="26">
        <f>COUNTIF('Raw Data'!$C$2:$C$251,$A38)</f>
        <v>4</v>
      </c>
      <c r="F38" s="26">
        <f>SUMIF('Raw Data'!$C$2:$C$251,$A38,'Raw Data'!$H$2:$H$251)</f>
        <v>14</v>
      </c>
      <c r="G38" s="25">
        <f>SUMIF('Raw Data'!$C$2:$C$251,$A38,'Raw Data'!$N$2:$N$251)</f>
        <v>3649.8599999999997</v>
      </c>
      <c r="H38" s="25">
        <f t="shared" si="7"/>
        <v>912.46499999999992</v>
      </c>
      <c r="I38" s="46">
        <f>_xlfn.MINIFS('Raw Data'!$B$2:$B$251,'Raw Data'!$C$2:$C$251,$A38)</f>
        <v>45509</v>
      </c>
      <c r="J38" s="46">
        <f>_xlfn.MAXIFS('Raw Data'!$B$2:$B$251,'Raw Data'!$C$2:$C$251,$A38)</f>
        <v>45711</v>
      </c>
      <c r="K38" s="46">
        <f>_xlfn.MINIFS('Raw Data'!$M$2:$M$251,'Raw Data'!$C$2:$C$251,$A38)</f>
        <v>44431</v>
      </c>
      <c r="L38" s="23">
        <f t="shared" ca="1" si="8"/>
        <v>5</v>
      </c>
      <c r="M38" s="45" t="str">
        <f>IF(_xlfn.MAXIFS('Raw Data'!$M$2:$M$251,'Raw Data'!$C$2:$C$251,$A38)-_xlfn.MINIFS('Raw Data'!$M$2:$M$251,'Raw Data'!$C$2:$C$251,$A38)&gt;0,"Yes","No")</f>
        <v>Yes</v>
      </c>
      <c r="N38" s="23">
        <f t="shared" si="9"/>
        <v>31</v>
      </c>
      <c r="O38" s="23">
        <f>N38+COUNTIF($N$23:N38,N38)-1</f>
        <v>31</v>
      </c>
      <c r="P38" s="45" t="str">
        <f t="shared" si="10"/>
        <v>Standard</v>
      </c>
      <c r="Q38" s="45" t="str">
        <f t="shared" si="11"/>
        <v>Repeat</v>
      </c>
      <c r="R38" s="23">
        <f>RANK(E38,$E$23:$E$72,0)+COUNTIF($E$23:E38,E38)-1</f>
        <v>33</v>
      </c>
      <c r="S38" s="23">
        <f>IF(COUNTIFS('Raw Data'!$C$2:$C$251,$A38,'Raw Data'!$B$2:$B$251,"&lt;="&amp;$B$5)&gt;0,1,0)</f>
        <v>1</v>
      </c>
      <c r="T38" s="23">
        <f>IF(COUNTIFS('Raw Data'!$C$2:$C$251,$A38,'Raw Data'!$B$2:$B$251,"&gt;"&amp;$B$5)&gt;0,1,0)</f>
        <v>1</v>
      </c>
      <c r="U38" s="23">
        <f>IF(S38=1,SUM($S$23:S38),"")</f>
        <v>14</v>
      </c>
      <c r="V38" s="23">
        <f>IF(T38=1,SUM($T$23:T38),"")</f>
        <v>16</v>
      </c>
      <c r="W38" s="26">
        <f t="shared" ca="1" si="12"/>
        <v>599</v>
      </c>
    </row>
    <row r="39" spans="1:23" x14ac:dyDescent="0.25">
      <c r="A39" s="24" t="s">
        <v>173</v>
      </c>
      <c r="B39" s="24" t="str">
        <f>INDEX('Raw Data'!$D$2:$D$251,MATCH($A39,'Raw Data'!$C$2:$C$251,0))</f>
        <v>Charles Allen</v>
      </c>
      <c r="C39" s="45" t="str">
        <f t="shared" si="5"/>
        <v>CA</v>
      </c>
      <c r="D39" s="45" t="str">
        <f t="shared" si="6"/>
        <v>CALL-017</v>
      </c>
      <c r="E39" s="26">
        <f>COUNTIF('Raw Data'!$C$2:$C$251,$A39)</f>
        <v>9</v>
      </c>
      <c r="F39" s="26">
        <f>SUMIF('Raw Data'!$C$2:$C$251,$A39,'Raw Data'!$H$2:$H$251)</f>
        <v>27</v>
      </c>
      <c r="G39" s="25">
        <f>SUMIF('Raw Data'!$C$2:$C$251,$A39,'Raw Data'!$N$2:$N$251)</f>
        <v>5089.7300000000005</v>
      </c>
      <c r="H39" s="25">
        <f t="shared" si="7"/>
        <v>565.52555555555557</v>
      </c>
      <c r="I39" s="46">
        <f>_xlfn.MINIFS('Raw Data'!$B$2:$B$251,'Raw Data'!$C$2:$C$251,$A39)</f>
        <v>45403</v>
      </c>
      <c r="J39" s="46">
        <f>_xlfn.MAXIFS('Raw Data'!$B$2:$B$251,'Raw Data'!$C$2:$C$251,$A39)</f>
        <v>45724</v>
      </c>
      <c r="K39" s="46">
        <f>_xlfn.MINIFS('Raw Data'!$M$2:$M$251,'Raw Data'!$C$2:$C$251,$A39)</f>
        <v>44412</v>
      </c>
      <c r="L39" s="23">
        <f t="shared" ca="1" si="8"/>
        <v>5</v>
      </c>
      <c r="M39" s="45" t="str">
        <f>IF(_xlfn.MAXIFS('Raw Data'!$M$2:$M$251,'Raw Data'!$C$2:$C$251,$A39)-_xlfn.MINIFS('Raw Data'!$M$2:$M$251,'Raw Data'!$C$2:$C$251,$A39)&gt;0,"Yes","No")</f>
        <v>Yes</v>
      </c>
      <c r="N39" s="23">
        <f t="shared" si="9"/>
        <v>20</v>
      </c>
      <c r="O39" s="23">
        <f>N39+COUNTIF($N$23:N39,N39)-1</f>
        <v>20</v>
      </c>
      <c r="P39" s="45" t="str">
        <f t="shared" si="10"/>
        <v>Standard</v>
      </c>
      <c r="Q39" s="45" t="str">
        <f t="shared" si="11"/>
        <v>Repeat</v>
      </c>
      <c r="R39" s="23">
        <f>RANK(E39,$E$23:$E$72,0)+COUNTIF($E$23:E39,E39)-1</f>
        <v>3</v>
      </c>
      <c r="S39" s="23">
        <f>IF(COUNTIFS('Raw Data'!$C$2:$C$251,$A39,'Raw Data'!$B$2:$B$251,"&lt;="&amp;$B$5)&gt;0,1,0)</f>
        <v>1</v>
      </c>
      <c r="T39" s="23">
        <f>IF(COUNTIFS('Raw Data'!$C$2:$C$251,$A39,'Raw Data'!$B$2:$B$251,"&gt;"&amp;$B$5)&gt;0,1,0)</f>
        <v>1</v>
      </c>
      <c r="U39" s="23">
        <f>IF(S39=1,SUM($S$23:S39),"")</f>
        <v>15</v>
      </c>
      <c r="V39" s="23">
        <f>IF(T39=1,SUM($T$23:T39),"")</f>
        <v>17</v>
      </c>
      <c r="W39" s="26">
        <f t="shared" ca="1" si="12"/>
        <v>586</v>
      </c>
    </row>
    <row r="40" spans="1:23" x14ac:dyDescent="0.25">
      <c r="A40" s="24" t="s">
        <v>174</v>
      </c>
      <c r="B40" s="24" t="str">
        <f>INDEX('Raw Data'!$D$2:$D$251,MATCH($A40,'Raw Data'!$C$2:$C$251,0))</f>
        <v>Barbara Young</v>
      </c>
      <c r="C40" s="45" t="str">
        <f t="shared" si="5"/>
        <v>BY</v>
      </c>
      <c r="D40" s="45" t="str">
        <f t="shared" si="6"/>
        <v>BYOU-018</v>
      </c>
      <c r="E40" s="26">
        <f>COUNTIF('Raw Data'!$C$2:$C$251,$A40)</f>
        <v>5</v>
      </c>
      <c r="F40" s="26">
        <f>SUMIF('Raw Data'!$C$2:$C$251,$A40,'Raw Data'!$H$2:$H$251)</f>
        <v>20</v>
      </c>
      <c r="G40" s="25">
        <f>SUMIF('Raw Data'!$C$2:$C$251,$A40,'Raw Data'!$N$2:$N$251)</f>
        <v>10649.8</v>
      </c>
      <c r="H40" s="25">
        <f t="shared" si="7"/>
        <v>2129.96</v>
      </c>
      <c r="I40" s="46">
        <f>_xlfn.MINIFS('Raw Data'!$B$2:$B$251,'Raw Data'!$C$2:$C$251,$A40)</f>
        <v>45412</v>
      </c>
      <c r="J40" s="46">
        <f>_xlfn.MAXIFS('Raw Data'!$B$2:$B$251,'Raw Data'!$C$2:$C$251,$A40)</f>
        <v>45708</v>
      </c>
      <c r="K40" s="46">
        <f>_xlfn.MINIFS('Raw Data'!$M$2:$M$251,'Raw Data'!$C$2:$C$251,$A40)</f>
        <v>44613</v>
      </c>
      <c r="L40" s="23">
        <f t="shared" ca="1" si="8"/>
        <v>4</v>
      </c>
      <c r="M40" s="45" t="str">
        <f>IF(_xlfn.MAXIFS('Raw Data'!$M$2:$M$251,'Raw Data'!$C$2:$C$251,$A40)-_xlfn.MINIFS('Raw Data'!$M$2:$M$251,'Raw Data'!$C$2:$C$251,$A40)&gt;0,"Yes","No")</f>
        <v>Yes</v>
      </c>
      <c r="N40" s="23">
        <f t="shared" si="9"/>
        <v>3</v>
      </c>
      <c r="O40" s="23">
        <f>N40+COUNTIF($N$23:N40,N40)-1</f>
        <v>3</v>
      </c>
      <c r="P40" s="45" t="str">
        <f t="shared" si="10"/>
        <v>High-Value</v>
      </c>
      <c r="Q40" s="45" t="str">
        <f t="shared" si="11"/>
        <v>Repeat</v>
      </c>
      <c r="R40" s="23">
        <f>RANK(E40,$E$23:$E$72,0)+COUNTIF($E$23:E40,E40)-1</f>
        <v>24</v>
      </c>
      <c r="S40" s="23">
        <f>IF(COUNTIFS('Raw Data'!$C$2:$C$251,$A40,'Raw Data'!$B$2:$B$251,"&lt;="&amp;$B$5)&gt;0,1,0)</f>
        <v>1</v>
      </c>
      <c r="T40" s="23">
        <f>IF(COUNTIFS('Raw Data'!$C$2:$C$251,$A40,'Raw Data'!$B$2:$B$251,"&gt;"&amp;$B$5)&gt;0,1,0)</f>
        <v>1</v>
      </c>
      <c r="U40" s="23">
        <f>IF(S40=1,SUM($S$23:S40),"")</f>
        <v>16</v>
      </c>
      <c r="V40" s="23">
        <f>IF(T40=1,SUM($T$23:T40),"")</f>
        <v>18</v>
      </c>
      <c r="W40" s="26">
        <f t="shared" ca="1" si="12"/>
        <v>602</v>
      </c>
    </row>
    <row r="41" spans="1:23" x14ac:dyDescent="0.25">
      <c r="A41" s="24" t="s">
        <v>175</v>
      </c>
      <c r="B41" s="24" t="str">
        <f>INDEX('Raw Data'!$D$2:$D$251,MATCH($A41,'Raw Data'!$C$2:$C$251,0))</f>
        <v>Daniel King</v>
      </c>
      <c r="C41" s="45" t="str">
        <f t="shared" si="5"/>
        <v>DK</v>
      </c>
      <c r="D41" s="45" t="str">
        <f t="shared" si="6"/>
        <v>DKIN-019</v>
      </c>
      <c r="E41" s="26">
        <f>COUNTIF('Raw Data'!$C$2:$C$251,$A41)</f>
        <v>7</v>
      </c>
      <c r="F41" s="26">
        <f>SUMIF('Raw Data'!$C$2:$C$251,$A41,'Raw Data'!$H$2:$H$251)</f>
        <v>20</v>
      </c>
      <c r="G41" s="25">
        <f>SUMIF('Raw Data'!$C$2:$C$251,$A41,'Raw Data'!$N$2:$N$251)</f>
        <v>7309.7999999999993</v>
      </c>
      <c r="H41" s="25">
        <f t="shared" si="7"/>
        <v>1044.2571428571428</v>
      </c>
      <c r="I41" s="46">
        <f>_xlfn.MINIFS('Raw Data'!$B$2:$B$251,'Raw Data'!$C$2:$C$251,$A41)</f>
        <v>45443</v>
      </c>
      <c r="J41" s="46">
        <f>_xlfn.MAXIFS('Raw Data'!$B$2:$B$251,'Raw Data'!$C$2:$C$251,$A41)</f>
        <v>45660</v>
      </c>
      <c r="K41" s="46">
        <f>_xlfn.MINIFS('Raw Data'!$M$2:$M$251,'Raw Data'!$C$2:$C$251,$A41)</f>
        <v>44446</v>
      </c>
      <c r="L41" s="23">
        <f t="shared" ca="1" si="8"/>
        <v>5</v>
      </c>
      <c r="M41" s="45" t="str">
        <f>IF(_xlfn.MAXIFS('Raw Data'!$M$2:$M$251,'Raw Data'!$C$2:$C$251,$A41)-_xlfn.MINIFS('Raw Data'!$M$2:$M$251,'Raw Data'!$C$2:$C$251,$A41)&gt;0,"Yes","No")</f>
        <v>Yes</v>
      </c>
      <c r="N41" s="23">
        <f t="shared" si="9"/>
        <v>8</v>
      </c>
      <c r="O41" s="23">
        <f>N41+COUNTIF($N$23:N41,N41)-1</f>
        <v>8</v>
      </c>
      <c r="P41" s="45" t="str">
        <f t="shared" si="10"/>
        <v>High-Value</v>
      </c>
      <c r="Q41" s="45" t="str">
        <f t="shared" si="11"/>
        <v>Repeat</v>
      </c>
      <c r="R41" s="23">
        <f>RANK(E41,$E$23:$E$72,0)+COUNTIF($E$23:E41,E41)-1</f>
        <v>8</v>
      </c>
      <c r="S41" s="23">
        <f>IF(COUNTIFS('Raw Data'!$C$2:$C$251,$A41,'Raw Data'!$B$2:$B$251,"&lt;="&amp;$B$5)&gt;0,1,0)</f>
        <v>1</v>
      </c>
      <c r="T41" s="23">
        <f>IF(COUNTIFS('Raw Data'!$C$2:$C$251,$A41,'Raw Data'!$B$2:$B$251,"&gt;"&amp;$B$5)&gt;0,1,0)</f>
        <v>1</v>
      </c>
      <c r="U41" s="23">
        <f>IF(S41=1,SUM($S$23:S41),"")</f>
        <v>17</v>
      </c>
      <c r="V41" s="23">
        <f>IF(T41=1,SUM($T$23:T41),"")</f>
        <v>19</v>
      </c>
      <c r="W41" s="26">
        <f t="shared" ca="1" si="12"/>
        <v>650</v>
      </c>
    </row>
    <row r="42" spans="1:23" x14ac:dyDescent="0.25">
      <c r="A42" s="24" t="s">
        <v>176</v>
      </c>
      <c r="B42" s="24" t="str">
        <f>INDEX('Raw Data'!$D$2:$D$251,MATCH($A42,'Raw Data'!$C$2:$C$251,0))</f>
        <v>Margaret Wright</v>
      </c>
      <c r="C42" s="45" t="str">
        <f t="shared" si="5"/>
        <v>MW</v>
      </c>
      <c r="D42" s="45" t="str">
        <f t="shared" si="6"/>
        <v>MWRI-020</v>
      </c>
      <c r="E42" s="26">
        <f>COUNTIF('Raw Data'!$C$2:$C$251,$A42)</f>
        <v>4</v>
      </c>
      <c r="F42" s="26">
        <f>SUMIF('Raw Data'!$C$2:$C$251,$A42,'Raw Data'!$H$2:$H$251)</f>
        <v>12</v>
      </c>
      <c r="G42" s="25">
        <f>SUMIF('Raw Data'!$C$2:$C$251,$A42,'Raw Data'!$N$2:$N$251)</f>
        <v>2099.88</v>
      </c>
      <c r="H42" s="25">
        <f t="shared" si="7"/>
        <v>524.97</v>
      </c>
      <c r="I42" s="46">
        <f>_xlfn.MINIFS('Raw Data'!$B$2:$B$251,'Raw Data'!$C$2:$C$251,$A42)</f>
        <v>45481</v>
      </c>
      <c r="J42" s="46">
        <f>_xlfn.MAXIFS('Raw Data'!$B$2:$B$251,'Raw Data'!$C$2:$C$251,$A42)</f>
        <v>45745</v>
      </c>
      <c r="K42" s="46">
        <f>_xlfn.MINIFS('Raw Data'!$M$2:$M$251,'Raw Data'!$C$2:$C$251,$A42)</f>
        <v>44421</v>
      </c>
      <c r="L42" s="23">
        <f t="shared" ca="1" si="8"/>
        <v>5</v>
      </c>
      <c r="M42" s="45" t="str">
        <f>IF(_xlfn.MAXIFS('Raw Data'!$M$2:$M$251,'Raw Data'!$C$2:$C$251,$A42)-_xlfn.MINIFS('Raw Data'!$M$2:$M$251,'Raw Data'!$C$2:$C$251,$A42)&gt;0,"Yes","No")</f>
        <v>Yes</v>
      </c>
      <c r="N42" s="23">
        <f t="shared" si="9"/>
        <v>35</v>
      </c>
      <c r="O42" s="23">
        <f>N42+COUNTIF($N$23:N42,N42)-1</f>
        <v>35</v>
      </c>
      <c r="P42" s="45" t="str">
        <f t="shared" si="10"/>
        <v>Standard</v>
      </c>
      <c r="Q42" s="45" t="str">
        <f t="shared" si="11"/>
        <v>Repeat</v>
      </c>
      <c r="R42" s="23">
        <f>RANK(E42,$E$23:$E$72,0)+COUNTIF($E$23:E42,E42)-1</f>
        <v>34</v>
      </c>
      <c r="S42" s="23">
        <f>IF(COUNTIFS('Raw Data'!$C$2:$C$251,$A42,'Raw Data'!$B$2:$B$251,"&lt;="&amp;$B$5)&gt;0,1,0)</f>
        <v>1</v>
      </c>
      <c r="T42" s="23">
        <f>IF(COUNTIFS('Raw Data'!$C$2:$C$251,$A42,'Raw Data'!$B$2:$B$251,"&gt;"&amp;$B$5)&gt;0,1,0)</f>
        <v>1</v>
      </c>
      <c r="U42" s="23">
        <f>IF(S42=1,SUM($S$23:S42),"")</f>
        <v>18</v>
      </c>
      <c r="V42" s="23">
        <f>IF(T42=1,SUM($T$23:T42),"")</f>
        <v>20</v>
      </c>
      <c r="W42" s="26">
        <f t="shared" ca="1" si="12"/>
        <v>565</v>
      </c>
    </row>
    <row r="43" spans="1:23" x14ac:dyDescent="0.25">
      <c r="A43" s="24" t="s">
        <v>177</v>
      </c>
      <c r="B43" s="24" t="str">
        <f>INDEX('Raw Data'!$D$2:$D$251,MATCH($A43,'Raw Data'!$C$2:$C$251,0))</f>
        <v>Kevin Scott</v>
      </c>
      <c r="C43" s="45" t="str">
        <f t="shared" si="5"/>
        <v>KS</v>
      </c>
      <c r="D43" s="45" t="str">
        <f t="shared" si="6"/>
        <v>KSCO-021</v>
      </c>
      <c r="E43" s="26">
        <f>COUNTIF('Raw Data'!$C$2:$C$251,$A43)</f>
        <v>6</v>
      </c>
      <c r="F43" s="26">
        <f>SUMIF('Raw Data'!$C$2:$C$251,$A43,'Raw Data'!$H$2:$H$251)</f>
        <v>13</v>
      </c>
      <c r="G43" s="25">
        <f>SUMIF('Raw Data'!$C$2:$C$251,$A43,'Raw Data'!$N$2:$N$251)</f>
        <v>3259.87</v>
      </c>
      <c r="H43" s="25">
        <f t="shared" si="7"/>
        <v>543.31166666666661</v>
      </c>
      <c r="I43" s="46">
        <f>_xlfn.MINIFS('Raw Data'!$B$2:$B$251,'Raw Data'!$C$2:$C$251,$A43)</f>
        <v>45399</v>
      </c>
      <c r="J43" s="46">
        <f>_xlfn.MAXIFS('Raw Data'!$B$2:$B$251,'Raw Data'!$C$2:$C$251,$A43)</f>
        <v>45704</v>
      </c>
      <c r="K43" s="46">
        <f>_xlfn.MINIFS('Raw Data'!$M$2:$M$251,'Raw Data'!$C$2:$C$251,$A43)</f>
        <v>44578</v>
      </c>
      <c r="L43" s="23">
        <f t="shared" ca="1" si="8"/>
        <v>4</v>
      </c>
      <c r="M43" s="45" t="str">
        <f>IF(_xlfn.MAXIFS('Raw Data'!$M$2:$M$251,'Raw Data'!$C$2:$C$251,$A43)-_xlfn.MINIFS('Raw Data'!$M$2:$M$251,'Raw Data'!$C$2:$C$251,$A43)&gt;0,"Yes","No")</f>
        <v>Yes</v>
      </c>
      <c r="N43" s="23">
        <f t="shared" si="9"/>
        <v>33</v>
      </c>
      <c r="O43" s="23">
        <f>N43+COUNTIF($N$23:N43,N43)-1</f>
        <v>33</v>
      </c>
      <c r="P43" s="45" t="str">
        <f t="shared" si="10"/>
        <v>Standard</v>
      </c>
      <c r="Q43" s="45" t="str">
        <f t="shared" si="11"/>
        <v>Repeat</v>
      </c>
      <c r="R43" s="23">
        <f>RANK(E43,$E$23:$E$72,0)+COUNTIF($E$23:E43,E43)-1</f>
        <v>11</v>
      </c>
      <c r="S43" s="23">
        <f>IF(COUNTIFS('Raw Data'!$C$2:$C$251,$A43,'Raw Data'!$B$2:$B$251,"&lt;="&amp;$B$5)&gt;0,1,0)</f>
        <v>1</v>
      </c>
      <c r="T43" s="23">
        <f>IF(COUNTIFS('Raw Data'!$C$2:$C$251,$A43,'Raw Data'!$B$2:$B$251,"&gt;"&amp;$B$5)&gt;0,1,0)</f>
        <v>1</v>
      </c>
      <c r="U43" s="23">
        <f>IF(S43=1,SUM($S$23:S43),"")</f>
        <v>19</v>
      </c>
      <c r="V43" s="23">
        <f>IF(T43=1,SUM($T$23:T43),"")</f>
        <v>21</v>
      </c>
      <c r="W43" s="26">
        <f t="shared" ca="1" si="12"/>
        <v>606</v>
      </c>
    </row>
    <row r="44" spans="1:23" x14ac:dyDescent="0.25">
      <c r="A44" s="24" t="s">
        <v>178</v>
      </c>
      <c r="B44" s="24" t="str">
        <f>INDEX('Raw Data'!$D$2:$D$251,MATCH($A44,'Raw Data'!$C$2:$C$251,0))</f>
        <v>Susan Green</v>
      </c>
      <c r="C44" s="45" t="str">
        <f t="shared" si="5"/>
        <v>SG</v>
      </c>
      <c r="D44" s="45" t="str">
        <f t="shared" si="6"/>
        <v>SGRE-022</v>
      </c>
      <c r="E44" s="26">
        <f>COUNTIF('Raw Data'!$C$2:$C$251,$A44)</f>
        <v>4</v>
      </c>
      <c r="F44" s="26">
        <f>SUMIF('Raw Data'!$C$2:$C$251,$A44,'Raw Data'!$H$2:$H$251)</f>
        <v>11</v>
      </c>
      <c r="G44" s="25">
        <f>SUMIF('Raw Data'!$C$2:$C$251,$A44,'Raw Data'!$N$2:$N$251)</f>
        <v>1979.89</v>
      </c>
      <c r="H44" s="25">
        <f t="shared" si="7"/>
        <v>494.97250000000003</v>
      </c>
      <c r="I44" s="46">
        <f>_xlfn.MINIFS('Raw Data'!$B$2:$B$251,'Raw Data'!$C$2:$C$251,$A44)</f>
        <v>45408</v>
      </c>
      <c r="J44" s="46">
        <f>_xlfn.MAXIFS('Raw Data'!$B$2:$B$251,'Raw Data'!$C$2:$C$251,$A44)</f>
        <v>45682</v>
      </c>
      <c r="K44" s="46">
        <f>_xlfn.MINIFS('Raw Data'!$M$2:$M$251,'Raw Data'!$C$2:$C$251,$A44)</f>
        <v>44564</v>
      </c>
      <c r="L44" s="23">
        <f t="shared" ca="1" si="8"/>
        <v>4</v>
      </c>
      <c r="M44" s="45" t="str">
        <f>IF(_xlfn.MAXIFS('Raw Data'!$M$2:$M$251,'Raw Data'!$C$2:$C$251,$A44)-_xlfn.MINIFS('Raw Data'!$M$2:$M$251,'Raw Data'!$C$2:$C$251,$A44)&gt;0,"Yes","No")</f>
        <v>Yes</v>
      </c>
      <c r="N44" s="23">
        <f t="shared" si="9"/>
        <v>37</v>
      </c>
      <c r="O44" s="23">
        <f>N44+COUNTIF($N$23:N44,N44)-1</f>
        <v>37</v>
      </c>
      <c r="P44" s="45" t="str">
        <f t="shared" si="10"/>
        <v>Standard</v>
      </c>
      <c r="Q44" s="45" t="str">
        <f t="shared" si="11"/>
        <v>Repeat</v>
      </c>
      <c r="R44" s="23">
        <f>RANK(E44,$E$23:$E$72,0)+COUNTIF($E$23:E44,E44)-1</f>
        <v>35</v>
      </c>
      <c r="S44" s="23">
        <f>IF(COUNTIFS('Raw Data'!$C$2:$C$251,$A44,'Raw Data'!$B$2:$B$251,"&lt;="&amp;$B$5)&gt;0,1,0)</f>
        <v>1</v>
      </c>
      <c r="T44" s="23">
        <f>IF(COUNTIFS('Raw Data'!$C$2:$C$251,$A44,'Raw Data'!$B$2:$B$251,"&gt;"&amp;$B$5)&gt;0,1,0)</f>
        <v>1</v>
      </c>
      <c r="U44" s="23">
        <f>IF(S44=1,SUM($S$23:S44),"")</f>
        <v>20</v>
      </c>
      <c r="V44" s="23">
        <f>IF(T44=1,SUM($T$23:T44),"")</f>
        <v>22</v>
      </c>
      <c r="W44" s="26">
        <f t="shared" ca="1" si="12"/>
        <v>628</v>
      </c>
    </row>
    <row r="45" spans="1:23" x14ac:dyDescent="0.25">
      <c r="A45" s="24" t="s">
        <v>179</v>
      </c>
      <c r="B45" s="24" t="str">
        <f>INDEX('Raw Data'!$D$2:$D$251,MATCH($A45,'Raw Data'!$C$2:$C$251,0))</f>
        <v>Paul Baker</v>
      </c>
      <c r="C45" s="45" t="str">
        <f t="shared" si="5"/>
        <v>PB</v>
      </c>
      <c r="D45" s="45" t="str">
        <f t="shared" si="6"/>
        <v>PBAK-023</v>
      </c>
      <c r="E45" s="26">
        <f>COUNTIF('Raw Data'!$C$2:$C$251,$A45)</f>
        <v>8</v>
      </c>
      <c r="F45" s="26">
        <f>SUMIF('Raw Data'!$C$2:$C$251,$A45,'Raw Data'!$H$2:$H$251)</f>
        <v>26</v>
      </c>
      <c r="G45" s="25">
        <f>SUMIF('Raw Data'!$C$2:$C$251,$A45,'Raw Data'!$N$2:$N$251)</f>
        <v>8309.739999999998</v>
      </c>
      <c r="H45" s="25">
        <f t="shared" si="7"/>
        <v>1038.7174999999997</v>
      </c>
      <c r="I45" s="46">
        <f>_xlfn.MINIFS('Raw Data'!$B$2:$B$251,'Raw Data'!$C$2:$C$251,$A45)</f>
        <v>45393</v>
      </c>
      <c r="J45" s="46">
        <f>_xlfn.MAXIFS('Raw Data'!$B$2:$B$251,'Raw Data'!$C$2:$C$251,$A45)</f>
        <v>45739</v>
      </c>
      <c r="K45" s="46">
        <f>_xlfn.MINIFS('Raw Data'!$M$2:$M$251,'Raw Data'!$C$2:$C$251,$A45)</f>
        <v>44425</v>
      </c>
      <c r="L45" s="23">
        <f t="shared" ca="1" si="8"/>
        <v>5</v>
      </c>
      <c r="M45" s="45" t="str">
        <f>IF(_xlfn.MAXIFS('Raw Data'!$M$2:$M$251,'Raw Data'!$C$2:$C$251,$A45)-_xlfn.MINIFS('Raw Data'!$M$2:$M$251,'Raw Data'!$C$2:$C$251,$A45)&gt;0,"Yes","No")</f>
        <v>Yes</v>
      </c>
      <c r="N45" s="23">
        <f t="shared" si="9"/>
        <v>5</v>
      </c>
      <c r="O45" s="23">
        <f>N45+COUNTIF($N$23:N45,N45)-1</f>
        <v>5</v>
      </c>
      <c r="P45" s="45" t="str">
        <f t="shared" si="10"/>
        <v>High-Value</v>
      </c>
      <c r="Q45" s="45" t="str">
        <f t="shared" si="11"/>
        <v>Repeat</v>
      </c>
      <c r="R45" s="23">
        <f>RANK(E45,$E$23:$E$72,0)+COUNTIF($E$23:E45,E45)-1</f>
        <v>5</v>
      </c>
      <c r="S45" s="23">
        <f>IF(COUNTIFS('Raw Data'!$C$2:$C$251,$A45,'Raw Data'!$B$2:$B$251,"&lt;="&amp;$B$5)&gt;0,1,0)</f>
        <v>1</v>
      </c>
      <c r="T45" s="23">
        <f>IF(COUNTIFS('Raw Data'!$C$2:$C$251,$A45,'Raw Data'!$B$2:$B$251,"&gt;"&amp;$B$5)&gt;0,1,0)</f>
        <v>1</v>
      </c>
      <c r="U45" s="23">
        <f>IF(S45=1,SUM($S$23:S45),"")</f>
        <v>21</v>
      </c>
      <c r="V45" s="23">
        <f>IF(T45=1,SUM($T$23:T45),"")</f>
        <v>23</v>
      </c>
      <c r="W45" s="26">
        <f t="shared" ca="1" si="12"/>
        <v>571</v>
      </c>
    </row>
    <row r="46" spans="1:23" x14ac:dyDescent="0.25">
      <c r="A46" s="24" t="s">
        <v>180</v>
      </c>
      <c r="B46" s="24" t="str">
        <f>INDEX('Raw Data'!$D$2:$D$251,MATCH($A46,'Raw Data'!$C$2:$C$251,0))</f>
        <v>Dorothy Nelson</v>
      </c>
      <c r="C46" s="45" t="str">
        <f t="shared" si="5"/>
        <v>DN</v>
      </c>
      <c r="D46" s="45" t="str">
        <f t="shared" si="6"/>
        <v>DNEL-024</v>
      </c>
      <c r="E46" s="26">
        <f>COUNTIF('Raw Data'!$C$2:$C$251,$A46)</f>
        <v>6</v>
      </c>
      <c r="F46" s="26">
        <f>SUMIF('Raw Data'!$C$2:$C$251,$A46,'Raw Data'!$H$2:$H$251)</f>
        <v>21</v>
      </c>
      <c r="G46" s="25">
        <f>SUMIF('Raw Data'!$C$2:$C$251,$A46,'Raw Data'!$N$2:$N$251)</f>
        <v>8269.7900000000009</v>
      </c>
      <c r="H46" s="25">
        <f t="shared" si="7"/>
        <v>1378.2983333333334</v>
      </c>
      <c r="I46" s="46">
        <f>_xlfn.MINIFS('Raw Data'!$B$2:$B$251,'Raw Data'!$C$2:$C$251,$A46)</f>
        <v>45403</v>
      </c>
      <c r="J46" s="46">
        <f>_xlfn.MAXIFS('Raw Data'!$B$2:$B$251,'Raw Data'!$C$2:$C$251,$A46)</f>
        <v>45737</v>
      </c>
      <c r="K46" s="46">
        <f>_xlfn.MINIFS('Raw Data'!$M$2:$M$251,'Raw Data'!$C$2:$C$251,$A46)</f>
        <v>44418</v>
      </c>
      <c r="L46" s="23">
        <f t="shared" ca="1" si="8"/>
        <v>5</v>
      </c>
      <c r="M46" s="45" t="str">
        <f>IF(_xlfn.MAXIFS('Raw Data'!$M$2:$M$251,'Raw Data'!$C$2:$C$251,$A46)-_xlfn.MINIFS('Raw Data'!$M$2:$M$251,'Raw Data'!$C$2:$C$251,$A46)&gt;0,"Yes","No")</f>
        <v>Yes</v>
      </c>
      <c r="N46" s="23">
        <f t="shared" si="9"/>
        <v>6</v>
      </c>
      <c r="O46" s="23">
        <f>N46+COUNTIF($N$23:N46,N46)-1</f>
        <v>6</v>
      </c>
      <c r="P46" s="45" t="str">
        <f t="shared" si="10"/>
        <v>High-Value</v>
      </c>
      <c r="Q46" s="45" t="str">
        <f t="shared" si="11"/>
        <v>Repeat</v>
      </c>
      <c r="R46" s="23">
        <f>RANK(E46,$E$23:$E$72,0)+COUNTIF($E$23:E46,E46)-1</f>
        <v>12</v>
      </c>
      <c r="S46" s="23">
        <f>IF(COUNTIFS('Raw Data'!$C$2:$C$251,$A46,'Raw Data'!$B$2:$B$251,"&lt;="&amp;$B$5)&gt;0,1,0)</f>
        <v>1</v>
      </c>
      <c r="T46" s="23">
        <f>IF(COUNTIFS('Raw Data'!$C$2:$C$251,$A46,'Raw Data'!$B$2:$B$251,"&gt;"&amp;$B$5)&gt;0,1,0)</f>
        <v>1</v>
      </c>
      <c r="U46" s="23">
        <f>IF(S46=1,SUM($S$23:S46),"")</f>
        <v>22</v>
      </c>
      <c r="V46" s="23">
        <f>IF(T46=1,SUM($T$23:T46),"")</f>
        <v>24</v>
      </c>
      <c r="W46" s="26">
        <f t="shared" ca="1" si="12"/>
        <v>573</v>
      </c>
    </row>
    <row r="47" spans="1:23" x14ac:dyDescent="0.25">
      <c r="A47" s="24" t="s">
        <v>181</v>
      </c>
      <c r="B47" s="24" t="str">
        <f>INDEX('Raw Data'!$D$2:$D$251,MATCH($A47,'Raw Data'!$C$2:$C$251,0))</f>
        <v>Mark Carter</v>
      </c>
      <c r="C47" s="45" t="str">
        <f t="shared" si="5"/>
        <v>MC</v>
      </c>
      <c r="D47" s="45" t="str">
        <f t="shared" si="6"/>
        <v>MCAR-025</v>
      </c>
      <c r="E47" s="26">
        <f>COUNTIF('Raw Data'!$C$2:$C$251,$A47)</f>
        <v>12</v>
      </c>
      <c r="F47" s="26">
        <f>SUMIF('Raw Data'!$C$2:$C$251,$A47,'Raw Data'!$H$2:$H$251)</f>
        <v>35</v>
      </c>
      <c r="G47" s="25">
        <f>SUMIF('Raw Data'!$C$2:$C$251,$A47,'Raw Data'!$N$2:$N$251)</f>
        <v>15659.65</v>
      </c>
      <c r="H47" s="25">
        <f t="shared" si="7"/>
        <v>1304.9708333333333</v>
      </c>
      <c r="I47" s="46">
        <f>_xlfn.MINIFS('Raw Data'!$B$2:$B$251,'Raw Data'!$C$2:$C$251,$A47)</f>
        <v>45410</v>
      </c>
      <c r="J47" s="46">
        <f>_xlfn.MAXIFS('Raw Data'!$B$2:$B$251,'Raw Data'!$C$2:$C$251,$A47)</f>
        <v>45686</v>
      </c>
      <c r="K47" s="46">
        <f>_xlfn.MINIFS('Raw Data'!$M$2:$M$251,'Raw Data'!$C$2:$C$251,$A47)</f>
        <v>44436</v>
      </c>
      <c r="L47" s="23">
        <f t="shared" ca="1" si="8"/>
        <v>5</v>
      </c>
      <c r="M47" s="45" t="str">
        <f>IF(_xlfn.MAXIFS('Raw Data'!$M$2:$M$251,'Raw Data'!$C$2:$C$251,$A47)-_xlfn.MINIFS('Raw Data'!$M$2:$M$251,'Raw Data'!$C$2:$C$251,$A47)&gt;0,"Yes","No")</f>
        <v>Yes</v>
      </c>
      <c r="N47" s="23">
        <f t="shared" si="9"/>
        <v>1</v>
      </c>
      <c r="O47" s="23">
        <f>N47+COUNTIF($N$23:N47,N47)-1</f>
        <v>1</v>
      </c>
      <c r="P47" s="45" t="str">
        <f t="shared" si="10"/>
        <v>High-Value</v>
      </c>
      <c r="Q47" s="45" t="str">
        <f t="shared" si="11"/>
        <v>Repeat</v>
      </c>
      <c r="R47" s="23">
        <f>RANK(E47,$E$23:$E$72,0)+COUNTIF($E$23:E47,E47)-1</f>
        <v>1</v>
      </c>
      <c r="S47" s="23">
        <f>IF(COUNTIFS('Raw Data'!$C$2:$C$251,$A47,'Raw Data'!$B$2:$B$251,"&lt;="&amp;$B$5)&gt;0,1,0)</f>
        <v>1</v>
      </c>
      <c r="T47" s="23">
        <f>IF(COUNTIFS('Raw Data'!$C$2:$C$251,$A47,'Raw Data'!$B$2:$B$251,"&gt;"&amp;$B$5)&gt;0,1,0)</f>
        <v>1</v>
      </c>
      <c r="U47" s="23">
        <f>IF(S47=1,SUM($S$23:S47),"")</f>
        <v>23</v>
      </c>
      <c r="V47" s="23">
        <f>IF(T47=1,SUM($T$23:T47),"")</f>
        <v>25</v>
      </c>
      <c r="W47" s="26">
        <f t="shared" ca="1" si="12"/>
        <v>624</v>
      </c>
    </row>
    <row r="48" spans="1:23" x14ac:dyDescent="0.25">
      <c r="A48" s="24" t="s">
        <v>182</v>
      </c>
      <c r="B48" s="24" t="str">
        <f>INDEX('Raw Data'!$D$2:$D$251,MATCH($A48,'Raw Data'!$C$2:$C$251,0))</f>
        <v>Karen Hill</v>
      </c>
      <c r="C48" s="45" t="str">
        <f t="shared" si="5"/>
        <v>KH</v>
      </c>
      <c r="D48" s="45" t="str">
        <f t="shared" si="6"/>
        <v>KHIL-026</v>
      </c>
      <c r="E48" s="26">
        <f>COUNTIF('Raw Data'!$C$2:$C$251,$A48)</f>
        <v>8</v>
      </c>
      <c r="F48" s="26">
        <f>SUMIF('Raw Data'!$C$2:$C$251,$A48,'Raw Data'!$H$2:$H$251)</f>
        <v>23</v>
      </c>
      <c r="G48" s="25">
        <f>SUMIF('Raw Data'!$C$2:$C$251,$A48,'Raw Data'!$N$2:$N$251)</f>
        <v>8009.7699999999995</v>
      </c>
      <c r="H48" s="25">
        <f t="shared" si="7"/>
        <v>1001.2212499999999</v>
      </c>
      <c r="I48" s="46">
        <f>_xlfn.MINIFS('Raw Data'!$B$2:$B$251,'Raw Data'!$C$2:$C$251,$A48)</f>
        <v>45408</v>
      </c>
      <c r="J48" s="46">
        <f>_xlfn.MAXIFS('Raw Data'!$B$2:$B$251,'Raw Data'!$C$2:$C$251,$A48)</f>
        <v>45746</v>
      </c>
      <c r="K48" s="46">
        <f>_xlfn.MINIFS('Raw Data'!$M$2:$M$251,'Raw Data'!$C$2:$C$251,$A48)</f>
        <v>44465</v>
      </c>
      <c r="L48" s="23">
        <f t="shared" ca="1" si="8"/>
        <v>5</v>
      </c>
      <c r="M48" s="45" t="str">
        <f>IF(_xlfn.MAXIFS('Raw Data'!$M$2:$M$251,'Raw Data'!$C$2:$C$251,$A48)-_xlfn.MINIFS('Raw Data'!$M$2:$M$251,'Raw Data'!$C$2:$C$251,$A48)&gt;0,"Yes","No")</f>
        <v>Yes</v>
      </c>
      <c r="N48" s="23">
        <f t="shared" si="9"/>
        <v>7</v>
      </c>
      <c r="O48" s="23">
        <f>N48+COUNTIF($N$23:N48,N48)-1</f>
        <v>7</v>
      </c>
      <c r="P48" s="45" t="str">
        <f t="shared" si="10"/>
        <v>High-Value</v>
      </c>
      <c r="Q48" s="45" t="str">
        <f t="shared" si="11"/>
        <v>Repeat</v>
      </c>
      <c r="R48" s="23">
        <f>RANK(E48,$E$23:$E$72,0)+COUNTIF($E$23:E48,E48)-1</f>
        <v>6</v>
      </c>
      <c r="S48" s="23">
        <f>IF(COUNTIFS('Raw Data'!$C$2:$C$251,$A48,'Raw Data'!$B$2:$B$251,"&lt;="&amp;$B$5)&gt;0,1,0)</f>
        <v>1</v>
      </c>
      <c r="T48" s="23">
        <f>IF(COUNTIFS('Raw Data'!$C$2:$C$251,$A48,'Raw Data'!$B$2:$B$251,"&gt;"&amp;$B$5)&gt;0,1,0)</f>
        <v>1</v>
      </c>
      <c r="U48" s="23">
        <f>IF(S48=1,SUM($S$23:S48),"")</f>
        <v>24</v>
      </c>
      <c r="V48" s="23">
        <f>IF(T48=1,SUM($T$23:T48),"")</f>
        <v>26</v>
      </c>
      <c r="W48" s="26">
        <f t="shared" ca="1" si="12"/>
        <v>564</v>
      </c>
    </row>
    <row r="49" spans="1:23" x14ac:dyDescent="0.25">
      <c r="A49" s="24" t="s">
        <v>183</v>
      </c>
      <c r="B49" s="24" t="str">
        <f>INDEX('Raw Data'!$D$2:$D$251,MATCH($A49,'Raw Data'!$C$2:$C$251,0))</f>
        <v>George Adams</v>
      </c>
      <c r="C49" s="45" t="str">
        <f t="shared" si="5"/>
        <v>GA</v>
      </c>
      <c r="D49" s="45" t="str">
        <f t="shared" si="6"/>
        <v>GADA-027</v>
      </c>
      <c r="E49" s="26">
        <f>COUNTIF('Raw Data'!$C$2:$C$251,$A49)</f>
        <v>3</v>
      </c>
      <c r="F49" s="26">
        <f>SUMIF('Raw Data'!$C$2:$C$251,$A49,'Raw Data'!$H$2:$H$251)</f>
        <v>7</v>
      </c>
      <c r="G49" s="25">
        <f>SUMIF('Raw Data'!$C$2:$C$251,$A49,'Raw Data'!$N$2:$N$251)</f>
        <v>3779.93</v>
      </c>
      <c r="H49" s="25">
        <f t="shared" si="7"/>
        <v>1259.9766666666667</v>
      </c>
      <c r="I49" s="46">
        <f>_xlfn.MINIFS('Raw Data'!$B$2:$B$251,'Raw Data'!$C$2:$C$251,$A49)</f>
        <v>45409</v>
      </c>
      <c r="J49" s="46">
        <f>_xlfn.MAXIFS('Raw Data'!$B$2:$B$251,'Raw Data'!$C$2:$C$251,$A49)</f>
        <v>45608</v>
      </c>
      <c r="K49" s="46">
        <f>_xlfn.MINIFS('Raw Data'!$M$2:$M$251,'Raw Data'!$C$2:$C$251,$A49)</f>
        <v>44920</v>
      </c>
      <c r="L49" s="23">
        <f t="shared" ca="1" si="8"/>
        <v>3</v>
      </c>
      <c r="M49" s="45" t="str">
        <f>IF(_xlfn.MAXIFS('Raw Data'!$M$2:$M$251,'Raw Data'!$C$2:$C$251,$A49)-_xlfn.MINIFS('Raw Data'!$M$2:$M$251,'Raw Data'!$C$2:$C$251,$A49)&gt;0,"Yes","No")</f>
        <v>Yes</v>
      </c>
      <c r="N49" s="23">
        <f t="shared" si="9"/>
        <v>28</v>
      </c>
      <c r="O49" s="23">
        <f>N49+COUNTIF($N$23:N49,N49)-1</f>
        <v>28</v>
      </c>
      <c r="P49" s="45" t="str">
        <f t="shared" si="10"/>
        <v>Standard</v>
      </c>
      <c r="Q49" s="45" t="str">
        <f t="shared" si="11"/>
        <v>Repeat</v>
      </c>
      <c r="R49" s="23">
        <f>RANK(E49,$E$23:$E$72,0)+COUNTIF($E$23:E49,E49)-1</f>
        <v>42</v>
      </c>
      <c r="S49" s="23">
        <f>IF(COUNTIFS('Raw Data'!$C$2:$C$251,$A49,'Raw Data'!$B$2:$B$251,"&lt;="&amp;$B$5)&gt;0,1,0)</f>
        <v>1</v>
      </c>
      <c r="T49" s="23">
        <f>IF(COUNTIFS('Raw Data'!$C$2:$C$251,$A49,'Raw Data'!$B$2:$B$251,"&gt;"&amp;$B$5)&gt;0,1,0)</f>
        <v>1</v>
      </c>
      <c r="U49" s="23">
        <f>IF(S49=1,SUM($S$23:S49),"")</f>
        <v>25</v>
      </c>
      <c r="V49" s="23">
        <f>IF(T49=1,SUM($T$23:T49),"")</f>
        <v>27</v>
      </c>
      <c r="W49" s="26">
        <f t="shared" ca="1" si="12"/>
        <v>702</v>
      </c>
    </row>
    <row r="50" spans="1:23" x14ac:dyDescent="0.25">
      <c r="A50" s="24" t="s">
        <v>184</v>
      </c>
      <c r="B50" s="24" t="str">
        <f>INDEX('Raw Data'!$D$2:$D$251,MATCH($A50,'Raw Data'!$C$2:$C$251,0))</f>
        <v>Betty Campbell</v>
      </c>
      <c r="C50" s="45" t="str">
        <f t="shared" si="5"/>
        <v>BC</v>
      </c>
      <c r="D50" s="45" t="str">
        <f t="shared" si="6"/>
        <v>BCAM-028</v>
      </c>
      <c r="E50" s="26">
        <f>COUNTIF('Raw Data'!$C$2:$C$251,$A50)</f>
        <v>5</v>
      </c>
      <c r="F50" s="26">
        <f>SUMIF('Raw Data'!$C$2:$C$251,$A50,'Raw Data'!$H$2:$H$251)</f>
        <v>16</v>
      </c>
      <c r="G50" s="25">
        <f>SUMIF('Raw Data'!$C$2:$C$251,$A50,'Raw Data'!$N$2:$N$251)</f>
        <v>5649.84</v>
      </c>
      <c r="H50" s="25">
        <f t="shared" si="7"/>
        <v>1129.9680000000001</v>
      </c>
      <c r="I50" s="46">
        <f>_xlfn.MINIFS('Raw Data'!$B$2:$B$251,'Raw Data'!$C$2:$C$251,$A50)</f>
        <v>45449</v>
      </c>
      <c r="J50" s="46">
        <f>_xlfn.MAXIFS('Raw Data'!$B$2:$B$251,'Raw Data'!$C$2:$C$251,$A50)</f>
        <v>45671</v>
      </c>
      <c r="K50" s="46">
        <f>_xlfn.MINIFS('Raw Data'!$M$2:$M$251,'Raw Data'!$C$2:$C$251,$A50)</f>
        <v>44460</v>
      </c>
      <c r="L50" s="23">
        <f t="shared" ca="1" si="8"/>
        <v>5</v>
      </c>
      <c r="M50" s="45" t="str">
        <f>IF(_xlfn.MAXIFS('Raw Data'!$M$2:$M$251,'Raw Data'!$C$2:$C$251,$A50)-_xlfn.MINIFS('Raw Data'!$M$2:$M$251,'Raw Data'!$C$2:$C$251,$A50)&gt;0,"Yes","No")</f>
        <v>Yes</v>
      </c>
      <c r="N50" s="23">
        <f t="shared" si="9"/>
        <v>16</v>
      </c>
      <c r="O50" s="23">
        <f>N50+COUNTIF($N$23:N50,N50)-1</f>
        <v>16</v>
      </c>
      <c r="P50" s="45" t="str">
        <f t="shared" si="10"/>
        <v>Standard</v>
      </c>
      <c r="Q50" s="45" t="str">
        <f t="shared" si="11"/>
        <v>Repeat</v>
      </c>
      <c r="R50" s="23">
        <f>RANK(E50,$E$23:$E$72,0)+COUNTIF($E$23:E50,E50)-1</f>
        <v>25</v>
      </c>
      <c r="S50" s="23">
        <f>IF(COUNTIFS('Raw Data'!$C$2:$C$251,$A50,'Raw Data'!$B$2:$B$251,"&lt;="&amp;$B$5)&gt;0,1,0)</f>
        <v>1</v>
      </c>
      <c r="T50" s="23">
        <f>IF(COUNTIFS('Raw Data'!$C$2:$C$251,$A50,'Raw Data'!$B$2:$B$251,"&gt;"&amp;$B$5)&gt;0,1,0)</f>
        <v>1</v>
      </c>
      <c r="U50" s="23">
        <f>IF(S50=1,SUM($S$23:S50),"")</f>
        <v>26</v>
      </c>
      <c r="V50" s="23">
        <f>IF(T50=1,SUM($T$23:T50),"")</f>
        <v>28</v>
      </c>
      <c r="W50" s="26">
        <f t="shared" ca="1" si="12"/>
        <v>639</v>
      </c>
    </row>
    <row r="51" spans="1:23" x14ac:dyDescent="0.25">
      <c r="A51" s="24" t="s">
        <v>185</v>
      </c>
      <c r="B51" s="24" t="str">
        <f>INDEX('Raw Data'!$D$2:$D$251,MATCH($A51,'Raw Data'!$C$2:$C$251,0))</f>
        <v>Edward Mitchell</v>
      </c>
      <c r="C51" s="45" t="str">
        <f t="shared" si="5"/>
        <v>EM</v>
      </c>
      <c r="D51" s="45" t="str">
        <f t="shared" si="6"/>
        <v>EMIT-029</v>
      </c>
      <c r="E51" s="26">
        <f>COUNTIF('Raw Data'!$C$2:$C$251,$A51)</f>
        <v>6</v>
      </c>
      <c r="F51" s="26">
        <f>SUMIF('Raw Data'!$C$2:$C$251,$A51,'Raw Data'!$H$2:$H$251)</f>
        <v>23</v>
      </c>
      <c r="G51" s="25">
        <f>SUMIF('Raw Data'!$C$2:$C$251,$A51,'Raw Data'!$N$2:$N$251)</f>
        <v>11919.769999999999</v>
      </c>
      <c r="H51" s="25">
        <f t="shared" si="7"/>
        <v>1986.6283333333331</v>
      </c>
      <c r="I51" s="46">
        <f>_xlfn.MINIFS('Raw Data'!$B$2:$B$251,'Raw Data'!$C$2:$C$251,$A51)</f>
        <v>45427</v>
      </c>
      <c r="J51" s="46">
        <f>_xlfn.MAXIFS('Raw Data'!$B$2:$B$251,'Raw Data'!$C$2:$C$251,$A51)</f>
        <v>45749</v>
      </c>
      <c r="K51" s="46">
        <f>_xlfn.MINIFS('Raw Data'!$M$2:$M$251,'Raw Data'!$C$2:$C$251,$A51)</f>
        <v>44427</v>
      </c>
      <c r="L51" s="23">
        <f t="shared" ca="1" si="8"/>
        <v>5</v>
      </c>
      <c r="M51" s="45" t="str">
        <f>IF(_xlfn.MAXIFS('Raw Data'!$M$2:$M$251,'Raw Data'!$C$2:$C$251,$A51)-_xlfn.MINIFS('Raw Data'!$M$2:$M$251,'Raw Data'!$C$2:$C$251,$A51)&gt;0,"Yes","No")</f>
        <v>Yes</v>
      </c>
      <c r="N51" s="23">
        <f t="shared" si="9"/>
        <v>2</v>
      </c>
      <c r="O51" s="23">
        <f>N51+COUNTIF($N$23:N51,N51)-1</f>
        <v>2</v>
      </c>
      <c r="P51" s="45" t="str">
        <f t="shared" si="10"/>
        <v>High-Value</v>
      </c>
      <c r="Q51" s="45" t="str">
        <f t="shared" si="11"/>
        <v>Repeat</v>
      </c>
      <c r="R51" s="23">
        <f>RANK(E51,$E$23:$E$72,0)+COUNTIF($E$23:E51,E51)-1</f>
        <v>13</v>
      </c>
      <c r="S51" s="23">
        <f>IF(COUNTIFS('Raw Data'!$C$2:$C$251,$A51,'Raw Data'!$B$2:$B$251,"&lt;="&amp;$B$5)&gt;0,1,0)</f>
        <v>1</v>
      </c>
      <c r="T51" s="23">
        <f>IF(COUNTIFS('Raw Data'!$C$2:$C$251,$A51,'Raw Data'!$B$2:$B$251,"&gt;"&amp;$B$5)&gt;0,1,0)</f>
        <v>1</v>
      </c>
      <c r="U51" s="23">
        <f>IF(S51=1,SUM($S$23:S51),"")</f>
        <v>27</v>
      </c>
      <c r="V51" s="23">
        <f>IF(T51=1,SUM($T$23:T51),"")</f>
        <v>29</v>
      </c>
      <c r="W51" s="26">
        <f t="shared" ca="1" si="12"/>
        <v>561</v>
      </c>
    </row>
    <row r="52" spans="1:23" x14ac:dyDescent="0.25">
      <c r="A52" s="24" t="s">
        <v>186</v>
      </c>
      <c r="B52" s="24" t="str">
        <f>INDEX('Raw Data'!$D$2:$D$251,MATCH($A52,'Raw Data'!$C$2:$C$251,0))</f>
        <v>Helen Roberts</v>
      </c>
      <c r="C52" s="45" t="str">
        <f t="shared" si="5"/>
        <v>HR</v>
      </c>
      <c r="D52" s="45" t="str">
        <f t="shared" si="6"/>
        <v>HROB-030</v>
      </c>
      <c r="E52" s="26">
        <f>COUNTIF('Raw Data'!$C$2:$C$251,$A52)</f>
        <v>7</v>
      </c>
      <c r="F52" s="26">
        <f>SUMIF('Raw Data'!$C$2:$C$251,$A52,'Raw Data'!$H$2:$H$251)</f>
        <v>21</v>
      </c>
      <c r="G52" s="25">
        <f>SUMIF('Raw Data'!$C$2:$C$251,$A52,'Raw Data'!$N$2:$N$251)</f>
        <v>6459.79</v>
      </c>
      <c r="H52" s="25">
        <f t="shared" si="7"/>
        <v>922.8271428571428</v>
      </c>
      <c r="I52" s="46">
        <f>_xlfn.MINIFS('Raw Data'!$B$2:$B$251,'Raw Data'!$C$2:$C$251,$A52)</f>
        <v>45425</v>
      </c>
      <c r="J52" s="46">
        <f>_xlfn.MAXIFS('Raw Data'!$B$2:$B$251,'Raw Data'!$C$2:$C$251,$A52)</f>
        <v>45723</v>
      </c>
      <c r="K52" s="46">
        <f>_xlfn.MINIFS('Raw Data'!$M$2:$M$251,'Raw Data'!$C$2:$C$251,$A52)</f>
        <v>44523</v>
      </c>
      <c r="L52" s="23">
        <f t="shared" ca="1" si="8"/>
        <v>4</v>
      </c>
      <c r="M52" s="45" t="str">
        <f>IF(_xlfn.MAXIFS('Raw Data'!$M$2:$M$251,'Raw Data'!$C$2:$C$251,$A52)-_xlfn.MINIFS('Raw Data'!$M$2:$M$251,'Raw Data'!$C$2:$C$251,$A52)&gt;0,"Yes","No")</f>
        <v>Yes</v>
      </c>
      <c r="N52" s="23">
        <f t="shared" si="9"/>
        <v>11</v>
      </c>
      <c r="O52" s="23">
        <f>N52+COUNTIF($N$23:N52,N52)-1</f>
        <v>11</v>
      </c>
      <c r="P52" s="45" t="str">
        <f t="shared" si="10"/>
        <v>Standard</v>
      </c>
      <c r="Q52" s="45" t="str">
        <f t="shared" si="11"/>
        <v>Repeat</v>
      </c>
      <c r="R52" s="23">
        <f>RANK(E52,$E$23:$E$72,0)+COUNTIF($E$23:E52,E52)-1</f>
        <v>9</v>
      </c>
      <c r="S52" s="23">
        <f>IF(COUNTIFS('Raw Data'!$C$2:$C$251,$A52,'Raw Data'!$B$2:$B$251,"&lt;="&amp;$B$5)&gt;0,1,0)</f>
        <v>1</v>
      </c>
      <c r="T52" s="23">
        <f>IF(COUNTIFS('Raw Data'!$C$2:$C$251,$A52,'Raw Data'!$B$2:$B$251,"&gt;"&amp;$B$5)&gt;0,1,0)</f>
        <v>1</v>
      </c>
      <c r="U52" s="23">
        <f>IF(S52=1,SUM($S$23:S52),"")</f>
        <v>28</v>
      </c>
      <c r="V52" s="23">
        <f>IF(T52=1,SUM($T$23:T52),"")</f>
        <v>30</v>
      </c>
      <c r="W52" s="26">
        <f t="shared" ca="1" si="12"/>
        <v>587</v>
      </c>
    </row>
    <row r="53" spans="1:23" x14ac:dyDescent="0.25">
      <c r="A53" s="24" t="s">
        <v>187</v>
      </c>
      <c r="B53" s="24" t="str">
        <f>INDEX('Raw Data'!$D$2:$D$251,MATCH($A53,'Raw Data'!$C$2:$C$251,0))</f>
        <v>Steven Turner</v>
      </c>
      <c r="C53" s="45" t="str">
        <f t="shared" si="5"/>
        <v>ST</v>
      </c>
      <c r="D53" s="45" t="str">
        <f t="shared" si="6"/>
        <v>STUR-031</v>
      </c>
      <c r="E53" s="26">
        <f>COUNTIF('Raw Data'!$C$2:$C$251,$A53)</f>
        <v>6</v>
      </c>
      <c r="F53" s="26">
        <f>SUMIF('Raw Data'!$C$2:$C$251,$A53,'Raw Data'!$H$2:$H$251)</f>
        <v>17</v>
      </c>
      <c r="G53" s="25">
        <f>SUMIF('Raw Data'!$C$2:$C$251,$A53,'Raw Data'!$N$2:$N$251)</f>
        <v>2649.83</v>
      </c>
      <c r="H53" s="25">
        <f t="shared" si="7"/>
        <v>441.63833333333332</v>
      </c>
      <c r="I53" s="46">
        <f>_xlfn.MINIFS('Raw Data'!$B$2:$B$251,'Raw Data'!$C$2:$C$251,$A53)</f>
        <v>45438</v>
      </c>
      <c r="J53" s="46">
        <f>_xlfn.MAXIFS('Raw Data'!$B$2:$B$251,'Raw Data'!$C$2:$C$251,$A53)</f>
        <v>45758</v>
      </c>
      <c r="K53" s="46">
        <f>_xlfn.MINIFS('Raw Data'!$M$2:$M$251,'Raw Data'!$C$2:$C$251,$A53)</f>
        <v>44536</v>
      </c>
      <c r="L53" s="23">
        <f t="shared" ca="1" si="8"/>
        <v>4</v>
      </c>
      <c r="M53" s="45" t="str">
        <f>IF(_xlfn.MAXIFS('Raw Data'!$M$2:$M$251,'Raw Data'!$C$2:$C$251,$A53)-_xlfn.MINIFS('Raw Data'!$M$2:$M$251,'Raw Data'!$C$2:$C$251,$A53)&gt;0,"Yes","No")</f>
        <v>Yes</v>
      </c>
      <c r="N53" s="23">
        <f t="shared" si="9"/>
        <v>34</v>
      </c>
      <c r="O53" s="23">
        <f>N53+COUNTIF($N$23:N53,N53)-1</f>
        <v>34</v>
      </c>
      <c r="P53" s="45" t="str">
        <f t="shared" si="10"/>
        <v>Standard</v>
      </c>
      <c r="Q53" s="45" t="str">
        <f t="shared" si="11"/>
        <v>Repeat</v>
      </c>
      <c r="R53" s="23">
        <f>RANK(E53,$E$23:$E$72,0)+COUNTIF($E$23:E53,E53)-1</f>
        <v>14</v>
      </c>
      <c r="S53" s="23">
        <f>IF(COUNTIFS('Raw Data'!$C$2:$C$251,$A53,'Raw Data'!$B$2:$B$251,"&lt;="&amp;$B$5)&gt;0,1,0)</f>
        <v>1</v>
      </c>
      <c r="T53" s="23">
        <f>IF(COUNTIFS('Raw Data'!$C$2:$C$251,$A53,'Raw Data'!$B$2:$B$251,"&gt;"&amp;$B$5)&gt;0,1,0)</f>
        <v>1</v>
      </c>
      <c r="U53" s="23">
        <f>IF(S53=1,SUM($S$23:S53),"")</f>
        <v>29</v>
      </c>
      <c r="V53" s="23">
        <f>IF(T53=1,SUM($T$23:T53),"")</f>
        <v>31</v>
      </c>
      <c r="W53" s="26">
        <f t="shared" ca="1" si="12"/>
        <v>552</v>
      </c>
    </row>
    <row r="54" spans="1:23" x14ac:dyDescent="0.25">
      <c r="A54" s="24" t="s">
        <v>188</v>
      </c>
      <c r="B54" s="24" t="str">
        <f>INDEX('Raw Data'!$D$2:$D$251,MATCH($A54,'Raw Data'!$C$2:$C$251,0))</f>
        <v>Sandra Phillips</v>
      </c>
      <c r="C54" s="45" t="str">
        <f t="shared" si="5"/>
        <v>SP</v>
      </c>
      <c r="D54" s="45" t="str">
        <f t="shared" si="6"/>
        <v>SPHI-032</v>
      </c>
      <c r="E54" s="26">
        <f>COUNTIF('Raw Data'!$C$2:$C$251,$A54)</f>
        <v>5</v>
      </c>
      <c r="F54" s="26">
        <f>SUMIF('Raw Data'!$C$2:$C$251,$A54,'Raw Data'!$H$2:$H$251)</f>
        <v>17</v>
      </c>
      <c r="G54" s="25">
        <f>SUMIF('Raw Data'!$C$2:$C$251,$A54,'Raw Data'!$N$2:$N$251)</f>
        <v>6349.83</v>
      </c>
      <c r="H54" s="25">
        <f t="shared" si="7"/>
        <v>1269.9659999999999</v>
      </c>
      <c r="I54" s="46">
        <f>_xlfn.MINIFS('Raw Data'!$B$2:$B$251,'Raw Data'!$C$2:$C$251,$A54)</f>
        <v>45534</v>
      </c>
      <c r="J54" s="46">
        <f>_xlfn.MAXIFS('Raw Data'!$B$2:$B$251,'Raw Data'!$C$2:$C$251,$A54)</f>
        <v>45671</v>
      </c>
      <c r="K54" s="46">
        <f>_xlfn.MINIFS('Raw Data'!$M$2:$M$251,'Raw Data'!$C$2:$C$251,$A54)</f>
        <v>44421</v>
      </c>
      <c r="L54" s="23">
        <f t="shared" ca="1" si="8"/>
        <v>5</v>
      </c>
      <c r="M54" s="45" t="str">
        <f>IF(_xlfn.MAXIFS('Raw Data'!$M$2:$M$251,'Raw Data'!$C$2:$C$251,$A54)-_xlfn.MINIFS('Raw Data'!$M$2:$M$251,'Raw Data'!$C$2:$C$251,$A54)&gt;0,"Yes","No")</f>
        <v>Yes</v>
      </c>
      <c r="N54" s="23">
        <f t="shared" si="9"/>
        <v>13</v>
      </c>
      <c r="O54" s="23">
        <f>N54+COUNTIF($N$23:N54,N54)-1</f>
        <v>13</v>
      </c>
      <c r="P54" s="45" t="str">
        <f t="shared" si="10"/>
        <v>Standard</v>
      </c>
      <c r="Q54" s="45" t="str">
        <f t="shared" si="11"/>
        <v>Repeat</v>
      </c>
      <c r="R54" s="23">
        <f>RANK(E54,$E$23:$E$72,0)+COUNTIF($E$23:E54,E54)-1</f>
        <v>26</v>
      </c>
      <c r="S54" s="23">
        <f>IF(COUNTIFS('Raw Data'!$C$2:$C$251,$A54,'Raw Data'!$B$2:$B$251,"&lt;="&amp;$B$5)&gt;0,1,0)</f>
        <v>1</v>
      </c>
      <c r="T54" s="23">
        <f>IF(COUNTIFS('Raw Data'!$C$2:$C$251,$A54,'Raw Data'!$B$2:$B$251,"&gt;"&amp;$B$5)&gt;0,1,0)</f>
        <v>1</v>
      </c>
      <c r="U54" s="23">
        <f>IF(S54=1,SUM($S$23:S54),"")</f>
        <v>30</v>
      </c>
      <c r="V54" s="23">
        <f>IF(T54=1,SUM($T$23:T54),"")</f>
        <v>32</v>
      </c>
      <c r="W54" s="26">
        <f t="shared" ca="1" si="12"/>
        <v>639</v>
      </c>
    </row>
    <row r="55" spans="1:23" x14ac:dyDescent="0.25">
      <c r="A55" s="24" t="s">
        <v>189</v>
      </c>
      <c r="B55" s="24" t="str">
        <f>INDEX('Raw Data'!$D$2:$D$251,MATCH($A55,'Raw Data'!$C$2:$C$251,0))</f>
        <v>Frank Torres</v>
      </c>
      <c r="C55" s="45" t="str">
        <f t="shared" ref="C55:C86" si="13">UPPER(LEFT(B55,1)&amp;MID(B55,FIND(" ",B55)+1,1))</f>
        <v>FT</v>
      </c>
      <c r="D55" s="45" t="str">
        <f t="shared" ref="D55:D72" si="14">UPPER(LEFT(B55,1)&amp;MID(B55,FIND(" ",B55)+1,3))&amp;"-"&amp;TEXT(VALUE(RIGHT(A55,3)),"000")</f>
        <v>FTOR-033</v>
      </c>
      <c r="E55" s="26">
        <f>COUNTIF('Raw Data'!$C$2:$C$251,$A55)</f>
        <v>5</v>
      </c>
      <c r="F55" s="26">
        <f>SUMIF('Raw Data'!$C$2:$C$251,$A55,'Raw Data'!$H$2:$H$251)</f>
        <v>9</v>
      </c>
      <c r="G55" s="25">
        <f>SUMIF('Raw Data'!$C$2:$C$251,$A55,'Raw Data'!$N$2:$N$251)</f>
        <v>1479.91</v>
      </c>
      <c r="H55" s="25">
        <f t="shared" ref="H55:H86" si="15">IFERROR(G55/E55,0)</f>
        <v>295.98200000000003</v>
      </c>
      <c r="I55" s="46">
        <f>_xlfn.MINIFS('Raw Data'!$B$2:$B$251,'Raw Data'!$C$2:$C$251,$A55)</f>
        <v>45484</v>
      </c>
      <c r="J55" s="46">
        <f>_xlfn.MAXIFS('Raw Data'!$B$2:$B$251,'Raw Data'!$C$2:$C$251,$A55)</f>
        <v>45734</v>
      </c>
      <c r="K55" s="46">
        <f>_xlfn.MINIFS('Raw Data'!$M$2:$M$251,'Raw Data'!$C$2:$C$251,$A55)</f>
        <v>44541</v>
      </c>
      <c r="L55" s="23">
        <f t="shared" ref="L55:L86" ca="1" si="16">DATEDIF(K55,TODAY(),"Y")</f>
        <v>4</v>
      </c>
      <c r="M55" s="45" t="str">
        <f>IF(_xlfn.MAXIFS('Raw Data'!$M$2:$M$251,'Raw Data'!$C$2:$C$251,$A55)-_xlfn.MINIFS('Raw Data'!$M$2:$M$251,'Raw Data'!$C$2:$C$251,$A55)&gt;0,"Yes","No")</f>
        <v>Yes</v>
      </c>
      <c r="N55" s="23">
        <f t="shared" ref="N55:N72" si="17">RANK(G55,$G$23:$G$72,0)</f>
        <v>42</v>
      </c>
      <c r="O55" s="23">
        <f>N55+COUNTIF($N$23:N55,N55)-1</f>
        <v>42</v>
      </c>
      <c r="P55" s="45" t="str">
        <f t="shared" ref="P55:P72" si="18">IF(G55&gt;=$B$4,"High-Value","Standard")</f>
        <v>Standard</v>
      </c>
      <c r="Q55" s="45" t="str">
        <f t="shared" ref="Q55:Q72" si="19">IF(E55&gt;1,"Repeat","One-time")</f>
        <v>Repeat</v>
      </c>
      <c r="R55" s="23">
        <f>RANK(E55,$E$23:$E$72,0)+COUNTIF($E$23:E55,E55)-1</f>
        <v>27</v>
      </c>
      <c r="S55" s="23">
        <f>IF(COUNTIFS('Raw Data'!$C$2:$C$251,$A55,'Raw Data'!$B$2:$B$251,"&lt;="&amp;$B$5)&gt;0,1,0)</f>
        <v>1</v>
      </c>
      <c r="T55" s="23">
        <f>IF(COUNTIFS('Raw Data'!$C$2:$C$251,$A55,'Raw Data'!$B$2:$B$251,"&gt;"&amp;$B$5)&gt;0,1,0)</f>
        <v>1</v>
      </c>
      <c r="U55" s="23">
        <f>IF(S55=1,SUM($S$23:S55),"")</f>
        <v>31</v>
      </c>
      <c r="V55" s="23">
        <f>IF(T55=1,SUM($T$23:T55),"")</f>
        <v>33</v>
      </c>
      <c r="W55" s="26">
        <f t="shared" ref="W55:W72" ca="1" si="20">TODAY()-J55</f>
        <v>576</v>
      </c>
    </row>
    <row r="56" spans="1:23" x14ac:dyDescent="0.25">
      <c r="A56" s="24" t="s">
        <v>190</v>
      </c>
      <c r="B56" s="24" t="str">
        <f>INDEX('Raw Data'!$D$2:$D$251,MATCH($A56,'Raw Data'!$C$2:$C$251,0))</f>
        <v>Carol Evans</v>
      </c>
      <c r="C56" s="45" t="str">
        <f t="shared" si="13"/>
        <v>CE</v>
      </c>
      <c r="D56" s="45" t="str">
        <f t="shared" si="14"/>
        <v>CEVA-034</v>
      </c>
      <c r="E56" s="26">
        <f>COUNTIF('Raw Data'!$C$2:$C$251,$A56)</f>
        <v>3</v>
      </c>
      <c r="F56" s="26">
        <f>SUMIF('Raw Data'!$C$2:$C$251,$A56,'Raw Data'!$H$2:$H$251)</f>
        <v>7</v>
      </c>
      <c r="G56" s="25">
        <f>SUMIF('Raw Data'!$C$2:$C$251,$A56,'Raw Data'!$N$2:$N$251)</f>
        <v>1149.93</v>
      </c>
      <c r="H56" s="25">
        <f t="shared" si="15"/>
        <v>383.31</v>
      </c>
      <c r="I56" s="46">
        <f>_xlfn.MINIFS('Raw Data'!$B$2:$B$251,'Raw Data'!$C$2:$C$251,$A56)</f>
        <v>45532</v>
      </c>
      <c r="J56" s="46">
        <f>_xlfn.MAXIFS('Raw Data'!$B$2:$B$251,'Raw Data'!$C$2:$C$251,$A56)</f>
        <v>45573</v>
      </c>
      <c r="K56" s="46">
        <f>_xlfn.MINIFS('Raw Data'!$M$2:$M$251,'Raw Data'!$C$2:$C$251,$A56)</f>
        <v>44685</v>
      </c>
      <c r="L56" s="23">
        <f t="shared" ca="1" si="16"/>
        <v>4</v>
      </c>
      <c r="M56" s="45" t="str">
        <f>IF(_xlfn.MAXIFS('Raw Data'!$M$2:$M$251,'Raw Data'!$C$2:$C$251,$A56)-_xlfn.MINIFS('Raw Data'!$M$2:$M$251,'Raw Data'!$C$2:$C$251,$A56)&gt;0,"Yes","No")</f>
        <v>Yes</v>
      </c>
      <c r="N56" s="23">
        <f t="shared" si="17"/>
        <v>45</v>
      </c>
      <c r="O56" s="23">
        <f>N56+COUNTIF($N$23:N56,N56)-1</f>
        <v>45</v>
      </c>
      <c r="P56" s="45" t="str">
        <f t="shared" si="18"/>
        <v>Standard</v>
      </c>
      <c r="Q56" s="45" t="str">
        <f t="shared" si="19"/>
        <v>Repeat</v>
      </c>
      <c r="R56" s="23">
        <f>RANK(E56,$E$23:$E$72,0)+COUNTIF($E$23:E56,E56)-1</f>
        <v>43</v>
      </c>
      <c r="S56" s="23">
        <f>IF(COUNTIFS('Raw Data'!$C$2:$C$251,$A56,'Raw Data'!$B$2:$B$251,"&lt;="&amp;$B$5)&gt;0,1,0)</f>
        <v>1</v>
      </c>
      <c r="T56" s="23">
        <f>IF(COUNTIFS('Raw Data'!$C$2:$C$251,$A56,'Raw Data'!$B$2:$B$251,"&gt;"&amp;$B$5)&gt;0,1,0)</f>
        <v>0</v>
      </c>
      <c r="U56" s="23">
        <f>IF(S56=1,SUM($S$23:S56),"")</f>
        <v>32</v>
      </c>
      <c r="V56" s="23" t="str">
        <f>IF(T56=1,SUM($T$23:T56),"")</f>
        <v/>
      </c>
      <c r="W56" s="26">
        <f t="shared" ca="1" si="20"/>
        <v>737</v>
      </c>
    </row>
    <row r="57" spans="1:23" x14ac:dyDescent="0.25">
      <c r="A57" s="24" t="s">
        <v>191</v>
      </c>
      <c r="B57" s="24" t="str">
        <f>INDEX('Raw Data'!$D$2:$D$251,MATCH($A57,'Raw Data'!$C$2:$C$251,0))</f>
        <v>Harry Morgan</v>
      </c>
      <c r="C57" s="45" t="str">
        <f t="shared" si="13"/>
        <v>HM</v>
      </c>
      <c r="D57" s="45" t="str">
        <f t="shared" si="14"/>
        <v>HMOR-035</v>
      </c>
      <c r="E57" s="26">
        <f>COUNTIF('Raw Data'!$C$2:$C$251,$A57)</f>
        <v>4</v>
      </c>
      <c r="F57" s="26">
        <f>SUMIF('Raw Data'!$C$2:$C$251,$A57,'Raw Data'!$H$2:$H$251)</f>
        <v>11</v>
      </c>
      <c r="G57" s="25">
        <f>SUMIF('Raw Data'!$C$2:$C$251,$A57,'Raw Data'!$N$2:$N$251)</f>
        <v>5519.8899999999994</v>
      </c>
      <c r="H57" s="25">
        <f t="shared" si="15"/>
        <v>1379.9724999999999</v>
      </c>
      <c r="I57" s="46">
        <f>_xlfn.MINIFS('Raw Data'!$B$2:$B$251,'Raw Data'!$C$2:$C$251,$A57)</f>
        <v>45441</v>
      </c>
      <c r="J57" s="46">
        <f>_xlfn.MAXIFS('Raw Data'!$B$2:$B$251,'Raw Data'!$C$2:$C$251,$A57)</f>
        <v>45726</v>
      </c>
      <c r="K57" s="46">
        <f>_xlfn.MINIFS('Raw Data'!$M$2:$M$251,'Raw Data'!$C$2:$C$251,$A57)</f>
        <v>44572</v>
      </c>
      <c r="L57" s="23">
        <f t="shared" ca="1" si="16"/>
        <v>4</v>
      </c>
      <c r="M57" s="45" t="str">
        <f>IF(_xlfn.MAXIFS('Raw Data'!$M$2:$M$251,'Raw Data'!$C$2:$C$251,$A57)-_xlfn.MINIFS('Raw Data'!$M$2:$M$251,'Raw Data'!$C$2:$C$251,$A57)&gt;0,"Yes","No")</f>
        <v>Yes</v>
      </c>
      <c r="N57" s="23">
        <f t="shared" si="17"/>
        <v>18</v>
      </c>
      <c r="O57" s="23">
        <f>N57+COUNTIF($N$23:N57,N57)-1</f>
        <v>18</v>
      </c>
      <c r="P57" s="45" t="str">
        <f t="shared" si="18"/>
        <v>Standard</v>
      </c>
      <c r="Q57" s="45" t="str">
        <f t="shared" si="19"/>
        <v>Repeat</v>
      </c>
      <c r="R57" s="23">
        <f>RANK(E57,$E$23:$E$72,0)+COUNTIF($E$23:E57,E57)-1</f>
        <v>36</v>
      </c>
      <c r="S57" s="23">
        <f>IF(COUNTIFS('Raw Data'!$C$2:$C$251,$A57,'Raw Data'!$B$2:$B$251,"&lt;="&amp;$B$5)&gt;0,1,0)</f>
        <v>1</v>
      </c>
      <c r="T57" s="23">
        <f>IF(COUNTIFS('Raw Data'!$C$2:$C$251,$A57,'Raw Data'!$B$2:$B$251,"&gt;"&amp;$B$5)&gt;0,1,0)</f>
        <v>1</v>
      </c>
      <c r="U57" s="23">
        <f>IF(S57=1,SUM($S$23:S57),"")</f>
        <v>33</v>
      </c>
      <c r="V57" s="23">
        <f>IF(T57=1,SUM($T$23:T57),"")</f>
        <v>34</v>
      </c>
      <c r="W57" s="26">
        <f t="shared" ca="1" si="20"/>
        <v>584</v>
      </c>
    </row>
    <row r="58" spans="1:23" x14ac:dyDescent="0.25">
      <c r="A58" s="24" t="s">
        <v>192</v>
      </c>
      <c r="B58" s="24" t="str">
        <f>INDEX('Raw Data'!$D$2:$D$251,MATCH($A58,'Raw Data'!$C$2:$C$251,0))</f>
        <v>Nancy Collins</v>
      </c>
      <c r="C58" s="45" t="str">
        <f t="shared" si="13"/>
        <v>NC</v>
      </c>
      <c r="D58" s="45" t="str">
        <f t="shared" si="14"/>
        <v>NCOL-036</v>
      </c>
      <c r="E58" s="26">
        <f>COUNTIF('Raw Data'!$C$2:$C$251,$A58)</f>
        <v>6</v>
      </c>
      <c r="F58" s="26">
        <f>SUMIF('Raw Data'!$C$2:$C$251,$A58,'Raw Data'!$H$2:$H$251)</f>
        <v>23</v>
      </c>
      <c r="G58" s="25">
        <f>SUMIF('Raw Data'!$C$2:$C$251,$A58,'Raw Data'!$N$2:$N$251)</f>
        <v>4189.7700000000004</v>
      </c>
      <c r="H58" s="25">
        <f t="shared" si="15"/>
        <v>698.29500000000007</v>
      </c>
      <c r="I58" s="46">
        <f>_xlfn.MINIFS('Raw Data'!$B$2:$B$251,'Raw Data'!$C$2:$C$251,$A58)</f>
        <v>45422</v>
      </c>
      <c r="J58" s="46">
        <f>_xlfn.MAXIFS('Raw Data'!$B$2:$B$251,'Raw Data'!$C$2:$C$251,$A58)</f>
        <v>45701</v>
      </c>
      <c r="K58" s="46">
        <f>_xlfn.MINIFS('Raw Data'!$M$2:$M$251,'Raw Data'!$C$2:$C$251,$A58)</f>
        <v>44396</v>
      </c>
      <c r="L58" s="23">
        <f t="shared" ca="1" si="16"/>
        <v>5</v>
      </c>
      <c r="M58" s="45" t="str">
        <f>IF(_xlfn.MAXIFS('Raw Data'!$M$2:$M$251,'Raw Data'!$C$2:$C$251,$A58)-_xlfn.MINIFS('Raw Data'!$M$2:$M$251,'Raw Data'!$C$2:$C$251,$A58)&gt;0,"Yes","No")</f>
        <v>Yes</v>
      </c>
      <c r="N58" s="23">
        <f t="shared" si="17"/>
        <v>27</v>
      </c>
      <c r="O58" s="23">
        <f>N58+COUNTIF($N$23:N58,N58)-1</f>
        <v>27</v>
      </c>
      <c r="P58" s="45" t="str">
        <f t="shared" si="18"/>
        <v>Standard</v>
      </c>
      <c r="Q58" s="45" t="str">
        <f t="shared" si="19"/>
        <v>Repeat</v>
      </c>
      <c r="R58" s="23">
        <f>RANK(E58,$E$23:$E$72,0)+COUNTIF($E$23:E58,E58)-1</f>
        <v>15</v>
      </c>
      <c r="S58" s="23">
        <f>IF(COUNTIFS('Raw Data'!$C$2:$C$251,$A58,'Raw Data'!$B$2:$B$251,"&lt;="&amp;$B$5)&gt;0,1,0)</f>
        <v>1</v>
      </c>
      <c r="T58" s="23">
        <f>IF(COUNTIFS('Raw Data'!$C$2:$C$251,$A58,'Raw Data'!$B$2:$B$251,"&gt;"&amp;$B$5)&gt;0,1,0)</f>
        <v>1</v>
      </c>
      <c r="U58" s="23">
        <f>IF(S58=1,SUM($S$23:S58),"")</f>
        <v>34</v>
      </c>
      <c r="V58" s="23">
        <f>IF(T58=1,SUM($T$23:T58),"")</f>
        <v>35</v>
      </c>
      <c r="W58" s="26">
        <f t="shared" ca="1" si="20"/>
        <v>609</v>
      </c>
    </row>
    <row r="59" spans="1:23" x14ac:dyDescent="0.25">
      <c r="A59" s="24" t="s">
        <v>193</v>
      </c>
      <c r="B59" s="24" t="str">
        <f>INDEX('Raw Data'!$D$2:$D$251,MATCH($A59,'Raw Data'!$C$2:$C$251,0))</f>
        <v>Arthur Edwards</v>
      </c>
      <c r="C59" s="45" t="str">
        <f t="shared" si="13"/>
        <v>AE</v>
      </c>
      <c r="D59" s="45" t="str">
        <f t="shared" si="14"/>
        <v>AEDW-037</v>
      </c>
      <c r="E59" s="26">
        <f>COUNTIF('Raw Data'!$C$2:$C$251,$A59)</f>
        <v>3</v>
      </c>
      <c r="F59" s="26">
        <f>SUMIF('Raw Data'!$C$2:$C$251,$A59,'Raw Data'!$H$2:$H$251)</f>
        <v>6</v>
      </c>
      <c r="G59" s="25">
        <f>SUMIF('Raw Data'!$C$2:$C$251,$A59,'Raw Data'!$N$2:$N$251)</f>
        <v>1559.94</v>
      </c>
      <c r="H59" s="25">
        <f t="shared" si="15"/>
        <v>519.98</v>
      </c>
      <c r="I59" s="46">
        <f>_xlfn.MINIFS('Raw Data'!$B$2:$B$251,'Raw Data'!$C$2:$C$251,$A59)</f>
        <v>45661</v>
      </c>
      <c r="J59" s="46">
        <f>_xlfn.MAXIFS('Raw Data'!$B$2:$B$251,'Raw Data'!$C$2:$C$251,$A59)</f>
        <v>45711</v>
      </c>
      <c r="K59" s="46">
        <f>_xlfn.MINIFS('Raw Data'!$M$2:$M$251,'Raw Data'!$C$2:$C$251,$A59)</f>
        <v>44412</v>
      </c>
      <c r="L59" s="23">
        <f t="shared" ca="1" si="16"/>
        <v>5</v>
      </c>
      <c r="M59" s="45" t="str">
        <f>IF(_xlfn.MAXIFS('Raw Data'!$M$2:$M$251,'Raw Data'!$C$2:$C$251,$A59)-_xlfn.MINIFS('Raw Data'!$M$2:$M$251,'Raw Data'!$C$2:$C$251,$A59)&gt;0,"Yes","No")</f>
        <v>Yes</v>
      </c>
      <c r="N59" s="23">
        <f t="shared" si="17"/>
        <v>41</v>
      </c>
      <c r="O59" s="23">
        <f>N59+COUNTIF($N$23:N59,N59)-1</f>
        <v>41</v>
      </c>
      <c r="P59" s="45" t="str">
        <f t="shared" si="18"/>
        <v>Standard</v>
      </c>
      <c r="Q59" s="45" t="str">
        <f t="shared" si="19"/>
        <v>Repeat</v>
      </c>
      <c r="R59" s="23">
        <f>RANK(E59,$E$23:$E$72,0)+COUNTIF($E$23:E59,E59)-1</f>
        <v>44</v>
      </c>
      <c r="S59" s="23">
        <f>IF(COUNTIFS('Raw Data'!$C$2:$C$251,$A59,'Raw Data'!$B$2:$B$251,"&lt;="&amp;$B$5)&gt;0,1,0)</f>
        <v>0</v>
      </c>
      <c r="T59" s="23">
        <f>IF(COUNTIFS('Raw Data'!$C$2:$C$251,$A59,'Raw Data'!$B$2:$B$251,"&gt;"&amp;$B$5)&gt;0,1,0)</f>
        <v>1</v>
      </c>
      <c r="U59" s="23" t="str">
        <f>IF(S59=1,SUM($S$23:S59),"")</f>
        <v/>
      </c>
      <c r="V59" s="23">
        <f>IF(T59=1,SUM($T$23:T59),"")</f>
        <v>36</v>
      </c>
      <c r="W59" s="26">
        <f t="shared" ca="1" si="20"/>
        <v>599</v>
      </c>
    </row>
    <row r="60" spans="1:23" x14ac:dyDescent="0.25">
      <c r="A60" s="24" t="s">
        <v>194</v>
      </c>
      <c r="B60" s="24" t="str">
        <f>INDEX('Raw Data'!$D$2:$D$251,MATCH($A60,'Raw Data'!$C$2:$C$251,0))</f>
        <v>Michelle Rogers</v>
      </c>
      <c r="C60" s="45" t="str">
        <f t="shared" si="13"/>
        <v>MR</v>
      </c>
      <c r="D60" s="45" t="str">
        <f t="shared" si="14"/>
        <v>MROG-038</v>
      </c>
      <c r="E60" s="26">
        <f>COUNTIF('Raw Data'!$C$2:$C$251,$A60)</f>
        <v>2</v>
      </c>
      <c r="F60" s="26">
        <f>SUMIF('Raw Data'!$C$2:$C$251,$A60,'Raw Data'!$H$2:$H$251)</f>
        <v>6</v>
      </c>
      <c r="G60" s="25">
        <f>SUMIF('Raw Data'!$C$2:$C$251,$A60,'Raw Data'!$N$2:$N$251)</f>
        <v>4199.9399999999996</v>
      </c>
      <c r="H60" s="25">
        <f t="shared" si="15"/>
        <v>2099.9699999999998</v>
      </c>
      <c r="I60" s="46">
        <f>_xlfn.MINIFS('Raw Data'!$B$2:$B$251,'Raw Data'!$C$2:$C$251,$A60)</f>
        <v>45409</v>
      </c>
      <c r="J60" s="46">
        <f>_xlfn.MAXIFS('Raw Data'!$B$2:$B$251,'Raw Data'!$C$2:$C$251,$A60)</f>
        <v>45668</v>
      </c>
      <c r="K60" s="46">
        <f>_xlfn.MINIFS('Raw Data'!$M$2:$M$251,'Raw Data'!$C$2:$C$251,$A60)</f>
        <v>44577</v>
      </c>
      <c r="L60" s="23">
        <f t="shared" ca="1" si="16"/>
        <v>4</v>
      </c>
      <c r="M60" s="45" t="str">
        <f>IF(_xlfn.MAXIFS('Raw Data'!$M$2:$M$251,'Raw Data'!$C$2:$C$251,$A60)-_xlfn.MINIFS('Raw Data'!$M$2:$M$251,'Raw Data'!$C$2:$C$251,$A60)&gt;0,"Yes","No")</f>
        <v>Yes</v>
      </c>
      <c r="N60" s="23">
        <f t="shared" si="17"/>
        <v>26</v>
      </c>
      <c r="O60" s="23">
        <f>N60+COUNTIF($N$23:N60,N60)-1</f>
        <v>26</v>
      </c>
      <c r="P60" s="45" t="str">
        <f t="shared" si="18"/>
        <v>Standard</v>
      </c>
      <c r="Q60" s="45" t="str">
        <f t="shared" si="19"/>
        <v>Repeat</v>
      </c>
      <c r="R60" s="23">
        <f>RANK(E60,$E$23:$E$72,0)+COUNTIF($E$23:E60,E60)-1</f>
        <v>46</v>
      </c>
      <c r="S60" s="23">
        <f>IF(COUNTIFS('Raw Data'!$C$2:$C$251,$A60,'Raw Data'!$B$2:$B$251,"&lt;="&amp;$B$5)&gt;0,1,0)</f>
        <v>1</v>
      </c>
      <c r="T60" s="23">
        <f>IF(COUNTIFS('Raw Data'!$C$2:$C$251,$A60,'Raw Data'!$B$2:$B$251,"&gt;"&amp;$B$5)&gt;0,1,0)</f>
        <v>1</v>
      </c>
      <c r="U60" s="23">
        <f>IF(S60=1,SUM($S$23:S60),"")</f>
        <v>35</v>
      </c>
      <c r="V60" s="23">
        <f>IF(T60=1,SUM($T$23:T60),"")</f>
        <v>37</v>
      </c>
      <c r="W60" s="26">
        <f t="shared" ca="1" si="20"/>
        <v>642</v>
      </c>
    </row>
    <row r="61" spans="1:23" x14ac:dyDescent="0.25">
      <c r="A61" s="24" t="s">
        <v>195</v>
      </c>
      <c r="B61" s="24" t="str">
        <f>INDEX('Raw Data'!$D$2:$D$251,MATCH($A61,'Raw Data'!$C$2:$C$251,0))</f>
        <v>Lawrence Reed</v>
      </c>
      <c r="C61" s="45" t="str">
        <f t="shared" si="13"/>
        <v>LR</v>
      </c>
      <c r="D61" s="45" t="str">
        <f t="shared" si="14"/>
        <v>LREE-039</v>
      </c>
      <c r="E61" s="26">
        <f>COUNTIF('Raw Data'!$C$2:$C$251,$A61)</f>
        <v>8</v>
      </c>
      <c r="F61" s="26">
        <f>SUMIF('Raw Data'!$C$2:$C$251,$A61,'Raw Data'!$H$2:$H$251)</f>
        <v>23</v>
      </c>
      <c r="G61" s="25">
        <f>SUMIF('Raw Data'!$C$2:$C$251,$A61,'Raw Data'!$N$2:$N$251)</f>
        <v>6989.7699999999986</v>
      </c>
      <c r="H61" s="25">
        <f t="shared" si="15"/>
        <v>873.72124999999983</v>
      </c>
      <c r="I61" s="46">
        <f>_xlfn.MINIFS('Raw Data'!$B$2:$B$251,'Raw Data'!$C$2:$C$251,$A61)</f>
        <v>45528</v>
      </c>
      <c r="J61" s="46">
        <f>_xlfn.MAXIFS('Raw Data'!$B$2:$B$251,'Raw Data'!$C$2:$C$251,$A61)</f>
        <v>45758</v>
      </c>
      <c r="K61" s="46">
        <f>_xlfn.MINIFS('Raw Data'!$M$2:$M$251,'Raw Data'!$C$2:$C$251,$A61)</f>
        <v>44544</v>
      </c>
      <c r="L61" s="23">
        <f t="shared" ca="1" si="16"/>
        <v>4</v>
      </c>
      <c r="M61" s="45" t="str">
        <f>IF(_xlfn.MAXIFS('Raw Data'!$M$2:$M$251,'Raw Data'!$C$2:$C$251,$A61)-_xlfn.MINIFS('Raw Data'!$M$2:$M$251,'Raw Data'!$C$2:$C$251,$A61)&gt;0,"Yes","No")</f>
        <v>Yes</v>
      </c>
      <c r="N61" s="23">
        <f t="shared" si="17"/>
        <v>9</v>
      </c>
      <c r="O61" s="23">
        <f>N61+COUNTIF($N$23:N61,N61)-1</f>
        <v>9</v>
      </c>
      <c r="P61" s="45" t="str">
        <f t="shared" si="18"/>
        <v>High-Value</v>
      </c>
      <c r="Q61" s="45" t="str">
        <f t="shared" si="19"/>
        <v>Repeat</v>
      </c>
      <c r="R61" s="23">
        <f>RANK(E61,$E$23:$E$72,0)+COUNTIF($E$23:E61,E61)-1</f>
        <v>7</v>
      </c>
      <c r="S61" s="23">
        <f>IF(COUNTIFS('Raw Data'!$C$2:$C$251,$A61,'Raw Data'!$B$2:$B$251,"&lt;="&amp;$B$5)&gt;0,1,0)</f>
        <v>1</v>
      </c>
      <c r="T61" s="23">
        <f>IF(COUNTIFS('Raw Data'!$C$2:$C$251,$A61,'Raw Data'!$B$2:$B$251,"&gt;"&amp;$B$5)&gt;0,1,0)</f>
        <v>1</v>
      </c>
      <c r="U61" s="23">
        <f>IF(S61=1,SUM($S$23:S61),"")</f>
        <v>36</v>
      </c>
      <c r="V61" s="23">
        <f>IF(T61=1,SUM($T$23:T61),"")</f>
        <v>38</v>
      </c>
      <c r="W61" s="26">
        <f t="shared" ca="1" si="20"/>
        <v>552</v>
      </c>
    </row>
    <row r="62" spans="1:23" x14ac:dyDescent="0.25">
      <c r="A62" s="24" t="s">
        <v>196</v>
      </c>
      <c r="B62" s="24" t="str">
        <f>INDEX('Raw Data'!$D$2:$D$251,MATCH($A62,'Raw Data'!$C$2:$C$251,0))</f>
        <v>Sharon Butler</v>
      </c>
      <c r="C62" s="45" t="str">
        <f t="shared" si="13"/>
        <v>SB</v>
      </c>
      <c r="D62" s="45" t="str">
        <f t="shared" si="14"/>
        <v>SBUT-040</v>
      </c>
      <c r="E62" s="26">
        <f>COUNTIF('Raw Data'!$C$2:$C$251,$A62)</f>
        <v>6</v>
      </c>
      <c r="F62" s="26">
        <f>SUMIF('Raw Data'!$C$2:$C$251,$A62,'Raw Data'!$H$2:$H$251)</f>
        <v>13</v>
      </c>
      <c r="G62" s="25">
        <f>SUMIF('Raw Data'!$C$2:$C$251,$A62,'Raw Data'!$N$2:$N$251)</f>
        <v>5619.869999999999</v>
      </c>
      <c r="H62" s="25">
        <f t="shared" si="15"/>
        <v>936.64499999999987</v>
      </c>
      <c r="I62" s="46">
        <f>_xlfn.MINIFS('Raw Data'!$B$2:$B$251,'Raw Data'!$C$2:$C$251,$A62)</f>
        <v>45444</v>
      </c>
      <c r="J62" s="46">
        <f>_xlfn.MAXIFS('Raw Data'!$B$2:$B$251,'Raw Data'!$C$2:$C$251,$A62)</f>
        <v>45737</v>
      </c>
      <c r="K62" s="46">
        <f>_xlfn.MINIFS('Raw Data'!$M$2:$M$251,'Raw Data'!$C$2:$C$251,$A62)</f>
        <v>44876</v>
      </c>
      <c r="L62" s="23">
        <f t="shared" ca="1" si="16"/>
        <v>3</v>
      </c>
      <c r="M62" s="45" t="str">
        <f>IF(_xlfn.MAXIFS('Raw Data'!$M$2:$M$251,'Raw Data'!$C$2:$C$251,$A62)-_xlfn.MINIFS('Raw Data'!$M$2:$M$251,'Raw Data'!$C$2:$C$251,$A62)&gt;0,"Yes","No")</f>
        <v>Yes</v>
      </c>
      <c r="N62" s="23">
        <f t="shared" si="17"/>
        <v>17</v>
      </c>
      <c r="O62" s="23">
        <f>N62+COUNTIF($N$23:N62,N62)-1</f>
        <v>17</v>
      </c>
      <c r="P62" s="45" t="str">
        <f t="shared" si="18"/>
        <v>Standard</v>
      </c>
      <c r="Q62" s="45" t="str">
        <f t="shared" si="19"/>
        <v>Repeat</v>
      </c>
      <c r="R62" s="23">
        <f>RANK(E62,$E$23:$E$72,0)+COUNTIF($E$23:E62,E62)-1</f>
        <v>16</v>
      </c>
      <c r="S62" s="23">
        <f>IF(COUNTIFS('Raw Data'!$C$2:$C$251,$A62,'Raw Data'!$B$2:$B$251,"&lt;="&amp;$B$5)&gt;0,1,0)</f>
        <v>1</v>
      </c>
      <c r="T62" s="23">
        <f>IF(COUNTIFS('Raw Data'!$C$2:$C$251,$A62,'Raw Data'!$B$2:$B$251,"&gt;"&amp;$B$5)&gt;0,1,0)</f>
        <v>1</v>
      </c>
      <c r="U62" s="23">
        <f>IF(S62=1,SUM($S$23:S62),"")</f>
        <v>37</v>
      </c>
      <c r="V62" s="23">
        <f>IF(T62=1,SUM($T$23:T62),"")</f>
        <v>39</v>
      </c>
      <c r="W62" s="26">
        <f t="shared" ca="1" si="20"/>
        <v>573</v>
      </c>
    </row>
    <row r="63" spans="1:23" x14ac:dyDescent="0.25">
      <c r="A63" s="24" t="s">
        <v>197</v>
      </c>
      <c r="B63" s="24" t="str">
        <f>INDEX('Raw Data'!$D$2:$D$251,MATCH($A63,'Raw Data'!$C$2:$C$251,0))</f>
        <v>Peter Richardson</v>
      </c>
      <c r="C63" s="45" t="str">
        <f t="shared" si="13"/>
        <v>PR</v>
      </c>
      <c r="D63" s="45" t="str">
        <f t="shared" si="14"/>
        <v>PRIC-041</v>
      </c>
      <c r="E63" s="26">
        <f>COUNTIF('Raw Data'!$C$2:$C$251,$A63)</f>
        <v>5</v>
      </c>
      <c r="F63" s="26">
        <f>SUMIF('Raw Data'!$C$2:$C$251,$A63,'Raw Data'!$H$2:$H$251)</f>
        <v>15</v>
      </c>
      <c r="G63" s="25">
        <f>SUMIF('Raw Data'!$C$2:$C$251,$A63,'Raw Data'!$N$2:$N$251)</f>
        <v>5949.85</v>
      </c>
      <c r="H63" s="25">
        <f t="shared" si="15"/>
        <v>1189.97</v>
      </c>
      <c r="I63" s="46">
        <f>_xlfn.MINIFS('Raw Data'!$B$2:$B$251,'Raw Data'!$C$2:$C$251,$A63)</f>
        <v>45408</v>
      </c>
      <c r="J63" s="46">
        <f>_xlfn.MAXIFS('Raw Data'!$B$2:$B$251,'Raw Data'!$C$2:$C$251,$A63)</f>
        <v>45638</v>
      </c>
      <c r="K63" s="46">
        <f>_xlfn.MINIFS('Raw Data'!$M$2:$M$251,'Raw Data'!$C$2:$C$251,$A63)</f>
        <v>44406</v>
      </c>
      <c r="L63" s="23">
        <f t="shared" ca="1" si="16"/>
        <v>5</v>
      </c>
      <c r="M63" s="45" t="str">
        <f>IF(_xlfn.MAXIFS('Raw Data'!$M$2:$M$251,'Raw Data'!$C$2:$C$251,$A63)-_xlfn.MINIFS('Raw Data'!$M$2:$M$251,'Raw Data'!$C$2:$C$251,$A63)&gt;0,"Yes","No")</f>
        <v>Yes</v>
      </c>
      <c r="N63" s="23">
        <f t="shared" si="17"/>
        <v>15</v>
      </c>
      <c r="O63" s="23">
        <f>N63+COUNTIF($N$23:N63,N63)-1</f>
        <v>15</v>
      </c>
      <c r="P63" s="45" t="str">
        <f t="shared" si="18"/>
        <v>Standard</v>
      </c>
      <c r="Q63" s="45" t="str">
        <f t="shared" si="19"/>
        <v>Repeat</v>
      </c>
      <c r="R63" s="23">
        <f>RANK(E63,$E$23:$E$72,0)+COUNTIF($E$23:E63,E63)-1</f>
        <v>28</v>
      </c>
      <c r="S63" s="23">
        <f>IF(COUNTIFS('Raw Data'!$C$2:$C$251,$A63,'Raw Data'!$B$2:$B$251,"&lt;="&amp;$B$5)&gt;0,1,0)</f>
        <v>1</v>
      </c>
      <c r="T63" s="23">
        <f>IF(COUNTIFS('Raw Data'!$C$2:$C$251,$A63,'Raw Data'!$B$2:$B$251,"&gt;"&amp;$B$5)&gt;0,1,0)</f>
        <v>1</v>
      </c>
      <c r="U63" s="23">
        <f>IF(S63=1,SUM($S$23:S63),"")</f>
        <v>38</v>
      </c>
      <c r="V63" s="23">
        <f>IF(T63=1,SUM($T$23:T63),"")</f>
        <v>40</v>
      </c>
      <c r="W63" s="26">
        <f t="shared" ca="1" si="20"/>
        <v>672</v>
      </c>
    </row>
    <row r="64" spans="1:23" x14ac:dyDescent="0.25">
      <c r="A64" s="24" t="s">
        <v>198</v>
      </c>
      <c r="B64" s="24" t="str">
        <f>INDEX('Raw Data'!$D$2:$D$251,MATCH($A64,'Raw Data'!$C$2:$C$251,0))</f>
        <v>Ruth Brooks</v>
      </c>
      <c r="C64" s="45" t="str">
        <f t="shared" si="13"/>
        <v>RB</v>
      </c>
      <c r="D64" s="45" t="str">
        <f t="shared" si="14"/>
        <v>RBRO-042</v>
      </c>
      <c r="E64" s="26">
        <f>COUNTIF('Raw Data'!$C$2:$C$251,$A64)</f>
        <v>3</v>
      </c>
      <c r="F64" s="26">
        <f>SUMIF('Raw Data'!$C$2:$C$251,$A64,'Raw Data'!$H$2:$H$251)</f>
        <v>8</v>
      </c>
      <c r="G64" s="25">
        <f>SUMIF('Raw Data'!$C$2:$C$251,$A64,'Raw Data'!$N$2:$N$251)</f>
        <v>1749.92</v>
      </c>
      <c r="H64" s="25">
        <f t="shared" si="15"/>
        <v>583.30666666666673</v>
      </c>
      <c r="I64" s="46">
        <f>_xlfn.MINIFS('Raw Data'!$B$2:$B$251,'Raw Data'!$C$2:$C$251,$A64)</f>
        <v>45550</v>
      </c>
      <c r="J64" s="46">
        <f>_xlfn.MAXIFS('Raw Data'!$B$2:$B$251,'Raw Data'!$C$2:$C$251,$A64)</f>
        <v>45711</v>
      </c>
      <c r="K64" s="46">
        <f>_xlfn.MINIFS('Raw Data'!$M$2:$M$251,'Raw Data'!$C$2:$C$251,$A64)</f>
        <v>44564</v>
      </c>
      <c r="L64" s="23">
        <f t="shared" ca="1" si="16"/>
        <v>4</v>
      </c>
      <c r="M64" s="45" t="str">
        <f>IF(_xlfn.MAXIFS('Raw Data'!$M$2:$M$251,'Raw Data'!$C$2:$C$251,$A64)-_xlfn.MINIFS('Raw Data'!$M$2:$M$251,'Raw Data'!$C$2:$C$251,$A64)&gt;0,"Yes","No")</f>
        <v>Yes</v>
      </c>
      <c r="N64" s="23">
        <f t="shared" si="17"/>
        <v>40</v>
      </c>
      <c r="O64" s="23">
        <f>N64+COUNTIF($N$23:N64,N64)-1</f>
        <v>40</v>
      </c>
      <c r="P64" s="45" t="str">
        <f t="shared" si="18"/>
        <v>Standard</v>
      </c>
      <c r="Q64" s="45" t="str">
        <f t="shared" si="19"/>
        <v>Repeat</v>
      </c>
      <c r="R64" s="23">
        <f>RANK(E64,$E$23:$E$72,0)+COUNTIF($E$23:E64,E64)-1</f>
        <v>45</v>
      </c>
      <c r="S64" s="23">
        <f>IF(COUNTIFS('Raw Data'!$C$2:$C$251,$A64,'Raw Data'!$B$2:$B$251,"&lt;="&amp;$B$5)&gt;0,1,0)</f>
        <v>1</v>
      </c>
      <c r="T64" s="23">
        <f>IF(COUNTIFS('Raw Data'!$C$2:$C$251,$A64,'Raw Data'!$B$2:$B$251,"&gt;"&amp;$B$5)&gt;0,1,0)</f>
        <v>1</v>
      </c>
      <c r="U64" s="23">
        <f>IF(S64=1,SUM($S$23:S64),"")</f>
        <v>39</v>
      </c>
      <c r="V64" s="23">
        <f>IF(T64=1,SUM($T$23:T64),"")</f>
        <v>41</v>
      </c>
      <c r="W64" s="26">
        <f t="shared" ca="1" si="20"/>
        <v>599</v>
      </c>
    </row>
    <row r="65" spans="1:23" x14ac:dyDescent="0.25">
      <c r="A65" s="24" t="s">
        <v>199</v>
      </c>
      <c r="B65" s="24" t="str">
        <f>INDEX('Raw Data'!$D$2:$D$251,MATCH($A65,'Raw Data'!$C$2:$C$251,0))</f>
        <v>Dennis Gray</v>
      </c>
      <c r="C65" s="45" t="str">
        <f t="shared" si="13"/>
        <v>DG</v>
      </c>
      <c r="D65" s="45" t="str">
        <f t="shared" si="14"/>
        <v>DGRA-043</v>
      </c>
      <c r="E65" s="26">
        <f>COUNTIF('Raw Data'!$C$2:$C$251,$A65)</f>
        <v>2</v>
      </c>
      <c r="F65" s="26">
        <f>SUMIF('Raw Data'!$C$2:$C$251,$A65,'Raw Data'!$H$2:$H$251)</f>
        <v>8</v>
      </c>
      <c r="G65" s="25">
        <f>SUMIF('Raw Data'!$C$2:$C$251,$A65,'Raw Data'!$N$2:$N$251)</f>
        <v>479.91999999999996</v>
      </c>
      <c r="H65" s="25">
        <f t="shared" si="15"/>
        <v>239.95999999999998</v>
      </c>
      <c r="I65" s="46">
        <f>_xlfn.MINIFS('Raw Data'!$B$2:$B$251,'Raw Data'!$C$2:$C$251,$A65)</f>
        <v>45409</v>
      </c>
      <c r="J65" s="46">
        <f>_xlfn.MAXIFS('Raw Data'!$B$2:$B$251,'Raw Data'!$C$2:$C$251,$A65)</f>
        <v>45721</v>
      </c>
      <c r="K65" s="46">
        <f>_xlfn.MINIFS('Raw Data'!$M$2:$M$251,'Raw Data'!$C$2:$C$251,$A65)</f>
        <v>45291</v>
      </c>
      <c r="L65" s="23">
        <f t="shared" ca="1" si="16"/>
        <v>2</v>
      </c>
      <c r="M65" s="45" t="str">
        <f>IF(_xlfn.MAXIFS('Raw Data'!$M$2:$M$251,'Raw Data'!$C$2:$C$251,$A65)-_xlfn.MINIFS('Raw Data'!$M$2:$M$251,'Raw Data'!$C$2:$C$251,$A65)&gt;0,"Yes","No")</f>
        <v>Yes</v>
      </c>
      <c r="N65" s="23">
        <f t="shared" si="17"/>
        <v>48</v>
      </c>
      <c r="O65" s="23">
        <f>N65+COUNTIF($N$23:N65,N65)-1</f>
        <v>48</v>
      </c>
      <c r="P65" s="45" t="str">
        <f t="shared" si="18"/>
        <v>Standard</v>
      </c>
      <c r="Q65" s="45" t="str">
        <f t="shared" si="19"/>
        <v>Repeat</v>
      </c>
      <c r="R65" s="23">
        <f>RANK(E65,$E$23:$E$72,0)+COUNTIF($E$23:E65,E65)-1</f>
        <v>47</v>
      </c>
      <c r="S65" s="23">
        <f>IF(COUNTIFS('Raw Data'!$C$2:$C$251,$A65,'Raw Data'!$B$2:$B$251,"&lt;="&amp;$B$5)&gt;0,1,0)</f>
        <v>1</v>
      </c>
      <c r="T65" s="23">
        <f>IF(COUNTIFS('Raw Data'!$C$2:$C$251,$A65,'Raw Data'!$B$2:$B$251,"&gt;"&amp;$B$5)&gt;0,1,0)</f>
        <v>1</v>
      </c>
      <c r="U65" s="23">
        <f>IF(S65=1,SUM($S$23:S65),"")</f>
        <v>40</v>
      </c>
      <c r="V65" s="23">
        <f>IF(T65=1,SUM($T$23:T65),"")</f>
        <v>42</v>
      </c>
      <c r="W65" s="26">
        <f t="shared" ca="1" si="20"/>
        <v>589</v>
      </c>
    </row>
    <row r="66" spans="1:23" x14ac:dyDescent="0.25">
      <c r="A66" s="24" t="s">
        <v>200</v>
      </c>
      <c r="B66" s="24" t="str">
        <f>INDEX('Raw Data'!$D$2:$D$251,MATCH($A66,'Raw Data'!$C$2:$C$251,0))</f>
        <v>Cynthia Price</v>
      </c>
      <c r="C66" s="45" t="str">
        <f t="shared" si="13"/>
        <v>CP</v>
      </c>
      <c r="D66" s="45" t="str">
        <f t="shared" si="14"/>
        <v>CPRI-044</v>
      </c>
      <c r="E66" s="26">
        <f>COUNTIF('Raw Data'!$C$2:$C$251,$A66)</f>
        <v>5</v>
      </c>
      <c r="F66" s="26">
        <f>SUMIF('Raw Data'!$C$2:$C$251,$A66,'Raw Data'!$H$2:$H$251)</f>
        <v>17</v>
      </c>
      <c r="G66" s="25">
        <f>SUMIF('Raw Data'!$C$2:$C$251,$A66,'Raw Data'!$N$2:$N$251)</f>
        <v>3769.8300000000004</v>
      </c>
      <c r="H66" s="25">
        <f t="shared" si="15"/>
        <v>753.96600000000012</v>
      </c>
      <c r="I66" s="46">
        <f>_xlfn.MINIFS('Raw Data'!$B$2:$B$251,'Raw Data'!$C$2:$C$251,$A66)</f>
        <v>45415</v>
      </c>
      <c r="J66" s="46">
        <f>_xlfn.MAXIFS('Raw Data'!$B$2:$B$251,'Raw Data'!$C$2:$C$251,$A66)</f>
        <v>45748</v>
      </c>
      <c r="K66" s="46">
        <f>_xlfn.MINIFS('Raw Data'!$M$2:$M$251,'Raw Data'!$C$2:$C$251,$A66)</f>
        <v>44468</v>
      </c>
      <c r="L66" s="23">
        <f t="shared" ca="1" si="16"/>
        <v>5</v>
      </c>
      <c r="M66" s="45" t="str">
        <f>IF(_xlfn.MAXIFS('Raw Data'!$M$2:$M$251,'Raw Data'!$C$2:$C$251,$A66)-_xlfn.MINIFS('Raw Data'!$M$2:$M$251,'Raw Data'!$C$2:$C$251,$A66)&gt;0,"Yes","No")</f>
        <v>Yes</v>
      </c>
      <c r="N66" s="23">
        <f t="shared" si="17"/>
        <v>29</v>
      </c>
      <c r="O66" s="23">
        <f>N66+COUNTIF($N$23:N66,N66)-1</f>
        <v>29</v>
      </c>
      <c r="P66" s="45" t="str">
        <f t="shared" si="18"/>
        <v>Standard</v>
      </c>
      <c r="Q66" s="45" t="str">
        <f t="shared" si="19"/>
        <v>Repeat</v>
      </c>
      <c r="R66" s="23">
        <f>RANK(E66,$E$23:$E$72,0)+COUNTIF($E$23:E66,E66)-1</f>
        <v>29</v>
      </c>
      <c r="S66" s="23">
        <f>IF(COUNTIFS('Raw Data'!$C$2:$C$251,$A66,'Raw Data'!$B$2:$B$251,"&lt;="&amp;$B$5)&gt;0,1,0)</f>
        <v>1</v>
      </c>
      <c r="T66" s="23">
        <f>IF(COUNTIFS('Raw Data'!$C$2:$C$251,$A66,'Raw Data'!$B$2:$B$251,"&gt;"&amp;$B$5)&gt;0,1,0)</f>
        <v>1</v>
      </c>
      <c r="U66" s="23">
        <f>IF(S66=1,SUM($S$23:S66),"")</f>
        <v>41</v>
      </c>
      <c r="V66" s="23">
        <f>IF(T66=1,SUM($T$23:T66),"")</f>
        <v>43</v>
      </c>
      <c r="W66" s="26">
        <f t="shared" ca="1" si="20"/>
        <v>562</v>
      </c>
    </row>
    <row r="67" spans="1:23" x14ac:dyDescent="0.25">
      <c r="A67" s="24" t="s">
        <v>201</v>
      </c>
      <c r="B67" s="24" t="str">
        <f>INDEX('Raw Data'!$D$2:$D$251,MATCH($A67,'Raw Data'!$C$2:$C$251,0))</f>
        <v>Douglas Watson</v>
      </c>
      <c r="C67" s="45" t="str">
        <f t="shared" si="13"/>
        <v>DW</v>
      </c>
      <c r="D67" s="45" t="str">
        <f t="shared" si="14"/>
        <v>DWAT-045</v>
      </c>
      <c r="E67" s="26">
        <f>COUNTIF('Raw Data'!$C$2:$C$251,$A67)</f>
        <v>4</v>
      </c>
      <c r="F67" s="26">
        <f>SUMIF('Raw Data'!$C$2:$C$251,$A67,'Raw Data'!$H$2:$H$251)</f>
        <v>11</v>
      </c>
      <c r="G67" s="25">
        <f>SUMIF('Raw Data'!$C$2:$C$251,$A67,'Raw Data'!$N$2:$N$251)</f>
        <v>4829.8899999999994</v>
      </c>
      <c r="H67" s="25">
        <f t="shared" si="15"/>
        <v>1207.4724999999999</v>
      </c>
      <c r="I67" s="46">
        <f>_xlfn.MINIFS('Raw Data'!$B$2:$B$251,'Raw Data'!$C$2:$C$251,$A67)</f>
        <v>45622</v>
      </c>
      <c r="J67" s="46">
        <f>_xlfn.MAXIFS('Raw Data'!$B$2:$B$251,'Raw Data'!$C$2:$C$251,$A67)</f>
        <v>45758</v>
      </c>
      <c r="K67" s="46">
        <f>_xlfn.MINIFS('Raw Data'!$M$2:$M$251,'Raw Data'!$C$2:$C$251,$A67)</f>
        <v>44681</v>
      </c>
      <c r="L67" s="23">
        <f t="shared" ca="1" si="16"/>
        <v>4</v>
      </c>
      <c r="M67" s="45" t="str">
        <f>IF(_xlfn.MAXIFS('Raw Data'!$M$2:$M$251,'Raw Data'!$C$2:$C$251,$A67)-_xlfn.MINIFS('Raw Data'!$M$2:$M$251,'Raw Data'!$C$2:$C$251,$A67)&gt;0,"Yes","No")</f>
        <v>Yes</v>
      </c>
      <c r="N67" s="23">
        <f t="shared" si="17"/>
        <v>21</v>
      </c>
      <c r="O67" s="23">
        <f>N67+COUNTIF($N$23:N67,N67)-1</f>
        <v>21</v>
      </c>
      <c r="P67" s="45" t="str">
        <f t="shared" si="18"/>
        <v>Standard</v>
      </c>
      <c r="Q67" s="45" t="str">
        <f t="shared" si="19"/>
        <v>Repeat</v>
      </c>
      <c r="R67" s="23">
        <f>RANK(E67,$E$23:$E$72,0)+COUNTIF($E$23:E67,E67)-1</f>
        <v>37</v>
      </c>
      <c r="S67" s="23">
        <f>IF(COUNTIFS('Raw Data'!$C$2:$C$251,$A67,'Raw Data'!$B$2:$B$251,"&lt;="&amp;$B$5)&gt;0,1,0)</f>
        <v>0</v>
      </c>
      <c r="T67" s="23">
        <f>IF(COUNTIFS('Raw Data'!$C$2:$C$251,$A67,'Raw Data'!$B$2:$B$251,"&gt;"&amp;$B$5)&gt;0,1,0)</f>
        <v>1</v>
      </c>
      <c r="U67" s="23" t="str">
        <f>IF(S67=1,SUM($S$23:S67),"")</f>
        <v/>
      </c>
      <c r="V67" s="23">
        <f>IF(T67=1,SUM($T$23:T67),"")</f>
        <v>44</v>
      </c>
      <c r="W67" s="26">
        <f t="shared" ca="1" si="20"/>
        <v>552</v>
      </c>
    </row>
    <row r="68" spans="1:23" x14ac:dyDescent="0.25">
      <c r="A68" s="24" t="s">
        <v>202</v>
      </c>
      <c r="B68" s="24" t="str">
        <f>INDEX('Raw Data'!$D$2:$D$251,MATCH($A68,'Raw Data'!$C$2:$C$251,0))</f>
        <v>Kathleen Bennett</v>
      </c>
      <c r="C68" s="45" t="str">
        <f t="shared" si="13"/>
        <v>KB</v>
      </c>
      <c r="D68" s="45" t="str">
        <f t="shared" si="14"/>
        <v>KBEN-046</v>
      </c>
      <c r="E68" s="26">
        <f>COUNTIF('Raw Data'!$C$2:$C$251,$A68)</f>
        <v>6</v>
      </c>
      <c r="F68" s="26">
        <f>SUMIF('Raw Data'!$C$2:$C$251,$A68,'Raw Data'!$H$2:$H$251)</f>
        <v>19</v>
      </c>
      <c r="G68" s="25">
        <f>SUMIF('Raw Data'!$C$2:$C$251,$A68,'Raw Data'!$N$2:$N$251)</f>
        <v>4309.8099999999995</v>
      </c>
      <c r="H68" s="25">
        <f t="shared" si="15"/>
        <v>718.30166666666662</v>
      </c>
      <c r="I68" s="46">
        <f>_xlfn.MINIFS('Raw Data'!$B$2:$B$251,'Raw Data'!$C$2:$C$251,$A68)</f>
        <v>45400</v>
      </c>
      <c r="J68" s="46">
        <f>_xlfn.MAXIFS('Raw Data'!$B$2:$B$251,'Raw Data'!$C$2:$C$251,$A68)</f>
        <v>45588</v>
      </c>
      <c r="K68" s="46">
        <f>_xlfn.MINIFS('Raw Data'!$M$2:$M$251,'Raw Data'!$C$2:$C$251,$A68)</f>
        <v>44458</v>
      </c>
      <c r="L68" s="23">
        <f t="shared" ca="1" si="16"/>
        <v>5</v>
      </c>
      <c r="M68" s="45" t="str">
        <f>IF(_xlfn.MAXIFS('Raw Data'!$M$2:$M$251,'Raw Data'!$C$2:$C$251,$A68)-_xlfn.MINIFS('Raw Data'!$M$2:$M$251,'Raw Data'!$C$2:$C$251,$A68)&gt;0,"Yes","No")</f>
        <v>Yes</v>
      </c>
      <c r="N68" s="23">
        <f t="shared" si="17"/>
        <v>25</v>
      </c>
      <c r="O68" s="23">
        <f>N68+COUNTIF($N$23:N68,N68)-1</f>
        <v>25</v>
      </c>
      <c r="P68" s="45" t="str">
        <f t="shared" si="18"/>
        <v>Standard</v>
      </c>
      <c r="Q68" s="45" t="str">
        <f t="shared" si="19"/>
        <v>Repeat</v>
      </c>
      <c r="R68" s="23">
        <f>RANK(E68,$E$23:$E$72,0)+COUNTIF($E$23:E68,E68)-1</f>
        <v>17</v>
      </c>
      <c r="S68" s="23">
        <f>IF(COUNTIFS('Raw Data'!$C$2:$C$251,$A68,'Raw Data'!$B$2:$B$251,"&lt;="&amp;$B$5)&gt;0,1,0)</f>
        <v>1</v>
      </c>
      <c r="T68" s="23">
        <f>IF(COUNTIFS('Raw Data'!$C$2:$C$251,$A68,'Raw Data'!$B$2:$B$251,"&gt;"&amp;$B$5)&gt;0,1,0)</f>
        <v>1</v>
      </c>
      <c r="U68" s="23">
        <f>IF(S68=1,SUM($S$23:S68),"")</f>
        <v>42</v>
      </c>
      <c r="V68" s="23">
        <f>IF(T68=1,SUM($T$23:T68),"")</f>
        <v>45</v>
      </c>
      <c r="W68" s="26">
        <f t="shared" ca="1" si="20"/>
        <v>722</v>
      </c>
    </row>
    <row r="69" spans="1:23" x14ac:dyDescent="0.25">
      <c r="A69" s="24" t="s">
        <v>203</v>
      </c>
      <c r="B69" s="24" t="str">
        <f>INDEX('Raw Data'!$D$2:$D$251,MATCH($A69,'Raw Data'!$C$2:$C$251,0))</f>
        <v>Gerald Murphy</v>
      </c>
      <c r="C69" s="45" t="str">
        <f t="shared" si="13"/>
        <v>GM</v>
      </c>
      <c r="D69" s="45" t="str">
        <f t="shared" si="14"/>
        <v>GMUR-047</v>
      </c>
      <c r="E69" s="26">
        <f>COUNTIF('Raw Data'!$C$2:$C$251,$A69)</f>
        <v>4</v>
      </c>
      <c r="F69" s="26">
        <f>SUMIF('Raw Data'!$C$2:$C$251,$A69,'Raw Data'!$H$2:$H$251)</f>
        <v>13</v>
      </c>
      <c r="G69" s="25">
        <f>SUMIF('Raw Data'!$C$2:$C$251,$A69,'Raw Data'!$N$2:$N$251)</f>
        <v>6379.87</v>
      </c>
      <c r="H69" s="25">
        <f t="shared" si="15"/>
        <v>1594.9675</v>
      </c>
      <c r="I69" s="46">
        <f>_xlfn.MINIFS('Raw Data'!$B$2:$B$251,'Raw Data'!$C$2:$C$251,$A69)</f>
        <v>45490</v>
      </c>
      <c r="J69" s="46">
        <f>_xlfn.MAXIFS('Raw Data'!$B$2:$B$251,'Raw Data'!$C$2:$C$251,$A69)</f>
        <v>45532</v>
      </c>
      <c r="K69" s="46">
        <f>_xlfn.MINIFS('Raw Data'!$M$2:$M$251,'Raw Data'!$C$2:$C$251,$A69)</f>
        <v>44497</v>
      </c>
      <c r="L69" s="23">
        <f t="shared" ca="1" si="16"/>
        <v>4</v>
      </c>
      <c r="M69" s="45" t="str">
        <f>IF(_xlfn.MAXIFS('Raw Data'!$M$2:$M$251,'Raw Data'!$C$2:$C$251,$A69)-_xlfn.MINIFS('Raw Data'!$M$2:$M$251,'Raw Data'!$C$2:$C$251,$A69)&gt;0,"Yes","No")</f>
        <v>Yes</v>
      </c>
      <c r="N69" s="23">
        <f t="shared" si="17"/>
        <v>12</v>
      </c>
      <c r="O69" s="23">
        <f>N69+COUNTIF($N$23:N69,N69)-1</f>
        <v>12</v>
      </c>
      <c r="P69" s="45" t="str">
        <f t="shared" si="18"/>
        <v>Standard</v>
      </c>
      <c r="Q69" s="45" t="str">
        <f t="shared" si="19"/>
        <v>Repeat</v>
      </c>
      <c r="R69" s="23">
        <f>RANK(E69,$E$23:$E$72,0)+COUNTIF($E$23:E69,E69)-1</f>
        <v>38</v>
      </c>
      <c r="S69" s="23">
        <f>IF(COUNTIFS('Raw Data'!$C$2:$C$251,$A69,'Raw Data'!$B$2:$B$251,"&lt;="&amp;$B$5)&gt;0,1,0)</f>
        <v>1</v>
      </c>
      <c r="T69" s="23">
        <f>IF(COUNTIFS('Raw Data'!$C$2:$C$251,$A69,'Raw Data'!$B$2:$B$251,"&gt;"&amp;$B$5)&gt;0,1,0)</f>
        <v>0</v>
      </c>
      <c r="U69" s="23">
        <f>IF(S69=1,SUM($S$23:S69),"")</f>
        <v>43</v>
      </c>
      <c r="V69" s="23" t="str">
        <f>IF(T69=1,SUM($T$23:T69),"")</f>
        <v/>
      </c>
      <c r="W69" s="26">
        <f t="shared" ca="1" si="20"/>
        <v>778</v>
      </c>
    </row>
    <row r="70" spans="1:23" x14ac:dyDescent="0.25">
      <c r="A70" s="24" t="s">
        <v>204</v>
      </c>
      <c r="B70" s="24" t="str">
        <f>INDEX('Raw Data'!$D$2:$D$251,MATCH($A70,'Raw Data'!$C$2:$C$251,0))</f>
        <v>Virginia Sanders</v>
      </c>
      <c r="C70" s="45" t="str">
        <f t="shared" si="13"/>
        <v>VS</v>
      </c>
      <c r="D70" s="45" t="str">
        <f t="shared" si="14"/>
        <v>VSAN-048</v>
      </c>
      <c r="E70" s="26">
        <f>COUNTIF('Raw Data'!$C$2:$C$251,$A70)</f>
        <v>6</v>
      </c>
      <c r="F70" s="26">
        <f>SUMIF('Raw Data'!$C$2:$C$251,$A70,'Raw Data'!$H$2:$H$251)</f>
        <v>21</v>
      </c>
      <c r="G70" s="25">
        <f>SUMIF('Raw Data'!$C$2:$C$251,$A70,'Raw Data'!$N$2:$N$251)</f>
        <v>4789.7900000000009</v>
      </c>
      <c r="H70" s="25">
        <f t="shared" si="15"/>
        <v>798.29833333333352</v>
      </c>
      <c r="I70" s="46">
        <f>_xlfn.MINIFS('Raw Data'!$B$2:$B$251,'Raw Data'!$C$2:$C$251,$A70)</f>
        <v>45410</v>
      </c>
      <c r="J70" s="46">
        <f>_xlfn.MAXIFS('Raw Data'!$B$2:$B$251,'Raw Data'!$C$2:$C$251,$A70)</f>
        <v>45755</v>
      </c>
      <c r="K70" s="46">
        <f>_xlfn.MINIFS('Raw Data'!$M$2:$M$251,'Raw Data'!$C$2:$C$251,$A70)</f>
        <v>44511</v>
      </c>
      <c r="L70" s="23">
        <f t="shared" ca="1" si="16"/>
        <v>4</v>
      </c>
      <c r="M70" s="45" t="str">
        <f>IF(_xlfn.MAXIFS('Raw Data'!$M$2:$M$251,'Raw Data'!$C$2:$C$251,$A70)-_xlfn.MINIFS('Raw Data'!$M$2:$M$251,'Raw Data'!$C$2:$C$251,$A70)&gt;0,"Yes","No")</f>
        <v>Yes</v>
      </c>
      <c r="N70" s="23">
        <f t="shared" si="17"/>
        <v>22</v>
      </c>
      <c r="O70" s="23">
        <f>N70+COUNTIF($N$23:N70,N70)-1</f>
        <v>22</v>
      </c>
      <c r="P70" s="45" t="str">
        <f t="shared" si="18"/>
        <v>Standard</v>
      </c>
      <c r="Q70" s="45" t="str">
        <f t="shared" si="19"/>
        <v>Repeat</v>
      </c>
      <c r="R70" s="23">
        <f>RANK(E70,$E$23:$E$72,0)+COUNTIF($E$23:E70,E70)-1</f>
        <v>18</v>
      </c>
      <c r="S70" s="23">
        <f>IF(COUNTIFS('Raw Data'!$C$2:$C$251,$A70,'Raw Data'!$B$2:$B$251,"&lt;="&amp;$B$5)&gt;0,1,0)</f>
        <v>1</v>
      </c>
      <c r="T70" s="23">
        <f>IF(COUNTIFS('Raw Data'!$C$2:$C$251,$A70,'Raw Data'!$B$2:$B$251,"&gt;"&amp;$B$5)&gt;0,1,0)</f>
        <v>1</v>
      </c>
      <c r="U70" s="23">
        <f>IF(S70=1,SUM($S$23:S70),"")</f>
        <v>44</v>
      </c>
      <c r="V70" s="23">
        <f>IF(T70=1,SUM($T$23:T70),"")</f>
        <v>46</v>
      </c>
      <c r="W70" s="26">
        <f t="shared" ca="1" si="20"/>
        <v>555</v>
      </c>
    </row>
    <row r="71" spans="1:23" x14ac:dyDescent="0.25">
      <c r="A71" s="24" t="s">
        <v>205</v>
      </c>
      <c r="B71" s="24" t="str">
        <f>INDEX('Raw Data'!$D$2:$D$251,MATCH($A71,'Raw Data'!$C$2:$C$251,0))</f>
        <v>Raymond Ross</v>
      </c>
      <c r="C71" s="45" t="str">
        <f t="shared" si="13"/>
        <v>RR</v>
      </c>
      <c r="D71" s="45" t="str">
        <f t="shared" si="14"/>
        <v>RROS-049</v>
      </c>
      <c r="E71" s="26">
        <f>COUNTIF('Raw Data'!$C$2:$C$251,$A71)</f>
        <v>4</v>
      </c>
      <c r="F71" s="26">
        <f>SUMIF('Raw Data'!$C$2:$C$251,$A71,'Raw Data'!$H$2:$H$251)</f>
        <v>15</v>
      </c>
      <c r="G71" s="25">
        <f>SUMIF('Raw Data'!$C$2:$C$251,$A71,'Raw Data'!$N$2:$N$251)</f>
        <v>3669.8500000000004</v>
      </c>
      <c r="H71" s="25">
        <f t="shared" si="15"/>
        <v>917.46250000000009</v>
      </c>
      <c r="I71" s="46">
        <f>_xlfn.MINIFS('Raw Data'!$B$2:$B$251,'Raw Data'!$C$2:$C$251,$A71)</f>
        <v>45468</v>
      </c>
      <c r="J71" s="46">
        <f>_xlfn.MAXIFS('Raw Data'!$B$2:$B$251,'Raw Data'!$C$2:$C$251,$A71)</f>
        <v>45592</v>
      </c>
      <c r="K71" s="46">
        <f>_xlfn.MINIFS('Raw Data'!$M$2:$M$251,'Raw Data'!$C$2:$C$251,$A71)</f>
        <v>44509</v>
      </c>
      <c r="L71" s="23">
        <f t="shared" ca="1" si="16"/>
        <v>4</v>
      </c>
      <c r="M71" s="45" t="str">
        <f>IF(_xlfn.MAXIFS('Raw Data'!$M$2:$M$251,'Raw Data'!$C$2:$C$251,$A71)-_xlfn.MINIFS('Raw Data'!$M$2:$M$251,'Raw Data'!$C$2:$C$251,$A71)&gt;0,"Yes","No")</f>
        <v>Yes</v>
      </c>
      <c r="N71" s="23">
        <f t="shared" si="17"/>
        <v>30</v>
      </c>
      <c r="O71" s="23">
        <f>N71+COUNTIF($N$23:N71,N71)-1</f>
        <v>30</v>
      </c>
      <c r="P71" s="45" t="str">
        <f t="shared" si="18"/>
        <v>Standard</v>
      </c>
      <c r="Q71" s="45" t="str">
        <f t="shared" si="19"/>
        <v>Repeat</v>
      </c>
      <c r="R71" s="23">
        <f>RANK(E71,$E$23:$E$72,0)+COUNTIF($E$23:E71,E71)-1</f>
        <v>39</v>
      </c>
      <c r="S71" s="23">
        <f>IF(COUNTIFS('Raw Data'!$C$2:$C$251,$A71,'Raw Data'!$B$2:$B$251,"&lt;="&amp;$B$5)&gt;0,1,0)</f>
        <v>1</v>
      </c>
      <c r="T71" s="23">
        <f>IF(COUNTIFS('Raw Data'!$C$2:$C$251,$A71,'Raw Data'!$B$2:$B$251,"&gt;"&amp;$B$5)&gt;0,1,0)</f>
        <v>1</v>
      </c>
      <c r="U71" s="23">
        <f>IF(S71=1,SUM($S$23:S71),"")</f>
        <v>45</v>
      </c>
      <c r="V71" s="23">
        <f>IF(T71=1,SUM($T$23:T71),"")</f>
        <v>47</v>
      </c>
      <c r="W71" s="26">
        <f t="shared" ca="1" si="20"/>
        <v>718</v>
      </c>
    </row>
    <row r="72" spans="1:23" x14ac:dyDescent="0.25">
      <c r="A72" s="24" t="s">
        <v>206</v>
      </c>
      <c r="B72" s="24" t="str">
        <f>INDEX('Raw Data'!$D$2:$D$251,MATCH($A72,'Raw Data'!$C$2:$C$251,0))</f>
        <v>Julie Foster</v>
      </c>
      <c r="C72" s="45" t="str">
        <f t="shared" si="13"/>
        <v>JF</v>
      </c>
      <c r="D72" s="45" t="str">
        <f t="shared" si="14"/>
        <v>JFOS-050</v>
      </c>
      <c r="E72" s="26">
        <f>COUNTIF('Raw Data'!$C$2:$C$251,$A72)</f>
        <v>1</v>
      </c>
      <c r="F72" s="26">
        <f>SUMIF('Raw Data'!$C$2:$C$251,$A72,'Raw Data'!$H$2:$H$251)</f>
        <v>4</v>
      </c>
      <c r="G72" s="25">
        <f>SUMIF('Raw Data'!$C$2:$C$251,$A72,'Raw Data'!$N$2:$N$251)</f>
        <v>239.96</v>
      </c>
      <c r="H72" s="25">
        <f t="shared" si="15"/>
        <v>239.96</v>
      </c>
      <c r="I72" s="46">
        <f>_xlfn.MINIFS('Raw Data'!$B$2:$B$251,'Raw Data'!$C$2:$C$251,$A72)</f>
        <v>45452</v>
      </c>
      <c r="J72" s="46">
        <f>_xlfn.MAXIFS('Raw Data'!$B$2:$B$251,'Raw Data'!$C$2:$C$251,$A72)</f>
        <v>45452</v>
      </c>
      <c r="K72" s="46">
        <f>_xlfn.MINIFS('Raw Data'!$M$2:$M$251,'Raw Data'!$C$2:$C$251,$A72)</f>
        <v>44435</v>
      </c>
      <c r="L72" s="23">
        <f t="shared" ca="1" si="16"/>
        <v>5</v>
      </c>
      <c r="M72" s="45" t="str">
        <f>IF(_xlfn.MAXIFS('Raw Data'!$M$2:$M$251,'Raw Data'!$C$2:$C$251,$A72)-_xlfn.MINIFS('Raw Data'!$M$2:$M$251,'Raw Data'!$C$2:$C$251,$A72)&gt;0,"Yes","No")</f>
        <v>No</v>
      </c>
      <c r="N72" s="23">
        <f t="shared" si="17"/>
        <v>49</v>
      </c>
      <c r="O72" s="23">
        <f>N72+COUNTIF($N$23:N72,N72)-1</f>
        <v>49</v>
      </c>
      <c r="P72" s="45" t="str">
        <f t="shared" si="18"/>
        <v>Standard</v>
      </c>
      <c r="Q72" s="45" t="str">
        <f t="shared" si="19"/>
        <v>One-time</v>
      </c>
      <c r="R72" s="23">
        <f>RANK(E72,$E$23:$E$72,0)+COUNTIF($E$23:E72,E72)-1</f>
        <v>50</v>
      </c>
      <c r="S72" s="23">
        <f>IF(COUNTIFS('Raw Data'!$C$2:$C$251,$A72,'Raw Data'!$B$2:$B$251,"&lt;="&amp;$B$5)&gt;0,1,0)</f>
        <v>1</v>
      </c>
      <c r="T72" s="23">
        <f>IF(COUNTIFS('Raw Data'!$C$2:$C$251,$A72,'Raw Data'!$B$2:$B$251,"&gt;"&amp;$B$5)&gt;0,1,0)</f>
        <v>0</v>
      </c>
      <c r="U72" s="23">
        <f>IF(S72=1,SUM($S$23:S72),"")</f>
        <v>46</v>
      </c>
      <c r="V72" s="23" t="str">
        <f>IF(T72=1,SUM($T$23:T72),"")</f>
        <v/>
      </c>
      <c r="W72" s="26">
        <f t="shared" ca="1" si="20"/>
        <v>858</v>
      </c>
    </row>
  </sheetData>
  <conditionalFormatting sqref="D9:D18">
    <cfRule type="dataBar" priority="2">
      <dataBar>
        <cfvo type="num" val="0"/>
        <cfvo type="max"/>
        <color rgb="FFED7D31"/>
      </dataBar>
      <extLst>
        <ext xmlns:x14="http://schemas.microsoft.com/office/spreadsheetml/2009/9/main" uri="{B025F937-C7B1-47D3-B67F-A62EFF666E3E}">
          <x14:id>{C0809E10-81A7-40FB-833C-B071CF279B2F}</x14:id>
        </ext>
      </extLst>
    </cfRule>
  </conditionalFormatting>
  <conditionalFormatting sqref="G23:G72">
    <cfRule type="dataBar" priority="5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{879FC384-E1A8-4CDE-A13F-27BAFC42ED63}</x14:id>
        </ext>
      </extLst>
    </cfRule>
  </conditionalFormatting>
  <conditionalFormatting sqref="M23:M72">
    <cfRule type="expression" dxfId="3" priority="4">
      <formula>$M23="Yes"</formula>
    </cfRule>
  </conditionalFormatting>
  <conditionalFormatting sqref="N23:N72">
    <cfRule type="iconSet" priority="6">
      <iconSet reverse="1">
        <cfvo type="num" val="0"/>
        <cfvo type="num" val="11"/>
        <cfvo type="num" val="41"/>
      </iconSet>
    </cfRule>
  </conditionalFormatting>
  <conditionalFormatting sqref="P23:P72">
    <cfRule type="expression" dxfId="2" priority="3">
      <formula>$P23="High-Value"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809E10-81A7-40FB-833C-B071CF279B2F}">
            <x14:dataBar axisPosition="none">
              <x14:cfvo type="num">
                <xm:f>0</xm:f>
              </x14:cfvo>
              <x14:cfvo type="max"/>
              <x14:negativeFillColor rgb="FFED7D31"/>
            </x14:dataBar>
          </x14:cfRule>
          <xm:sqref>D9:D18</xm:sqref>
        </x14:conditionalFormatting>
        <x14:conditionalFormatting xmlns:xm="http://schemas.microsoft.com/office/excel/2006/main">
          <x14:cfRule type="dataBar" id="{879FC384-E1A8-4CDE-A13F-27BAFC42ED63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G23:G72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  <pageSetUpPr fitToPage="1"/>
  </sheetPr>
  <dimension ref="A1:K94"/>
  <sheetViews>
    <sheetView showGridLines="0" topLeftCell="A78" zoomScaleNormal="100" workbookViewId="0">
      <selection activeCell="F49" sqref="F49"/>
    </sheetView>
  </sheetViews>
  <sheetFormatPr defaultColWidth="8.6640625" defaultRowHeight="13.2" x14ac:dyDescent="0.25"/>
  <cols>
    <col min="1" max="1" width="32" customWidth="1"/>
    <col min="2" max="3" width="22" customWidth="1"/>
    <col min="4" max="4" width="24" customWidth="1"/>
    <col min="5" max="6" width="16" customWidth="1"/>
    <col min="7" max="7" width="3" customWidth="1"/>
    <col min="8" max="8" width="20" customWidth="1"/>
    <col min="9" max="9" width="18" customWidth="1"/>
    <col min="10" max="10" width="14" customWidth="1"/>
    <col min="11" max="11" width="18" customWidth="1"/>
  </cols>
  <sheetData>
    <row r="1" spans="1:10" ht="21" customHeight="1" x14ac:dyDescent="0.4">
      <c r="A1" s="29" t="s">
        <v>207</v>
      </c>
    </row>
    <row r="4" spans="1:10" ht="15" customHeight="1" x14ac:dyDescent="0.3">
      <c r="A4" s="21" t="s">
        <v>208</v>
      </c>
      <c r="H4" s="21" t="s">
        <v>209</v>
      </c>
    </row>
    <row r="5" spans="1:10" ht="30" customHeight="1" x14ac:dyDescent="0.25">
      <c r="A5" s="22" t="s">
        <v>36</v>
      </c>
      <c r="B5" s="22" t="s">
        <v>210</v>
      </c>
      <c r="C5" s="22" t="s">
        <v>115</v>
      </c>
      <c r="D5" s="22" t="s">
        <v>27</v>
      </c>
      <c r="E5" s="22" t="s">
        <v>101</v>
      </c>
      <c r="H5" s="22" t="s">
        <v>36</v>
      </c>
      <c r="I5" s="22" t="s">
        <v>100</v>
      </c>
      <c r="J5" s="22" t="s">
        <v>211</v>
      </c>
    </row>
    <row r="6" spans="1:10" x14ac:dyDescent="0.25">
      <c r="A6" s="24" t="str">
        <f>'Sales Analysis'!$A$37</f>
        <v>Laptop</v>
      </c>
      <c r="B6" s="26">
        <f>COUNTIF('Raw Data'!$F$2:$F$251,A6)</f>
        <v>24</v>
      </c>
      <c r="C6" s="26">
        <f>SUMIF('Raw Data'!$F$2:$F$251,A6,'Raw Data'!$H$2:$H$251)</f>
        <v>75</v>
      </c>
      <c r="D6" s="25">
        <f>SUMIF('Raw Data'!$F$2:$F$251,A6,'Raw Data'!$N$2:$N$251)</f>
        <v>67499.25</v>
      </c>
      <c r="E6" s="23">
        <f t="shared" ref="E6:E15" si="0">RANK(B6,$B$6:$B$15,0)</f>
        <v>7</v>
      </c>
      <c r="H6" s="24" t="str">
        <f>'Sales Analysis'!$A$37</f>
        <v>Laptop</v>
      </c>
      <c r="I6" s="45" t="str">
        <f>'Sales Analysis'!$J$37</f>
        <v>LAP</v>
      </c>
      <c r="J6" s="45" t="str">
        <f>UPPER(LEFT('Sales Analysis'!$I$37,3))</f>
        <v>ELE</v>
      </c>
    </row>
    <row r="7" spans="1:10" x14ac:dyDescent="0.25">
      <c r="A7" s="24" t="str">
        <f>'Sales Analysis'!$A$38</f>
        <v>Smartphone</v>
      </c>
      <c r="B7" s="26">
        <f>COUNTIF('Raw Data'!$F$2:$F$251,A7)</f>
        <v>31</v>
      </c>
      <c r="C7" s="26">
        <f>SUMIF('Raw Data'!$F$2:$F$251,A7,'Raw Data'!$H$2:$H$251)</f>
        <v>96</v>
      </c>
      <c r="D7" s="25">
        <f>SUMIF('Raw Data'!$F$2:$F$251,A7,'Raw Data'!$N$2:$N$251)</f>
        <v>67199.039999999994</v>
      </c>
      <c r="E7" s="23">
        <f t="shared" si="0"/>
        <v>3</v>
      </c>
      <c r="H7" s="24" t="str">
        <f>'Sales Analysis'!$A$38</f>
        <v>Smartphone</v>
      </c>
      <c r="I7" s="45" t="str">
        <f>'Sales Analysis'!$J$38</f>
        <v>SMA</v>
      </c>
      <c r="J7" s="45" t="str">
        <f>UPPER(LEFT('Sales Analysis'!$I$38,3))</f>
        <v>ELE</v>
      </c>
    </row>
    <row r="8" spans="1:10" x14ac:dyDescent="0.25">
      <c r="A8" s="24" t="str">
        <f>'Sales Analysis'!$A$39</f>
        <v>Headphones</v>
      </c>
      <c r="B8" s="26">
        <f>COUNTIF('Raw Data'!$F$2:$F$251,A8)</f>
        <v>16</v>
      </c>
      <c r="C8" s="26">
        <f>SUMIF('Raw Data'!$F$2:$F$251,A8,'Raw Data'!$H$2:$H$251)</f>
        <v>47</v>
      </c>
      <c r="D8" s="25">
        <f>SUMIF('Raw Data'!$F$2:$F$251,A8,'Raw Data'!$N$2:$N$251)</f>
        <v>7049.5299999999988</v>
      </c>
      <c r="E8" s="23">
        <f t="shared" si="0"/>
        <v>8</v>
      </c>
      <c r="H8" s="24" t="str">
        <f>'Sales Analysis'!$A$39</f>
        <v>Headphones</v>
      </c>
      <c r="I8" s="45" t="str">
        <f>'Sales Analysis'!$J$39</f>
        <v>HEA</v>
      </c>
      <c r="J8" s="45" t="str">
        <f>UPPER(LEFT('Sales Analysis'!$I$39,3))</f>
        <v>ELE</v>
      </c>
    </row>
    <row r="9" spans="1:10" x14ac:dyDescent="0.25">
      <c r="A9" s="24" t="str">
        <f>'Sales Analysis'!$A$40</f>
        <v>Coffee Maker</v>
      </c>
      <c r="B9" s="26">
        <f>COUNTIF('Raw Data'!$F$2:$F$251,A9)</f>
        <v>14</v>
      </c>
      <c r="C9" s="26">
        <f>SUMIF('Raw Data'!$F$2:$F$251,A9,'Raw Data'!$H$2:$H$251)</f>
        <v>39</v>
      </c>
      <c r="D9" s="25">
        <f>SUMIF('Raw Data'!$F$2:$F$251,A9,'Raw Data'!$N$2:$N$251)</f>
        <v>3119.6099999999992</v>
      </c>
      <c r="E9" s="23">
        <f t="shared" si="0"/>
        <v>10</v>
      </c>
      <c r="H9" s="24" t="str">
        <f>'Sales Analysis'!$A$40</f>
        <v>Coffee Maker</v>
      </c>
      <c r="I9" s="45" t="str">
        <f>'Sales Analysis'!$J$40</f>
        <v>CM</v>
      </c>
      <c r="J9" s="45" t="str">
        <f>UPPER(LEFT('Sales Analysis'!$I$40,3))</f>
        <v>APP</v>
      </c>
    </row>
    <row r="10" spans="1:10" x14ac:dyDescent="0.25">
      <c r="A10" s="24" t="str">
        <f>'Sales Analysis'!$A$41</f>
        <v>Blender</v>
      </c>
      <c r="B10" s="26">
        <f>COUNTIF('Raw Data'!$F$2:$F$251,A10)</f>
        <v>29</v>
      </c>
      <c r="C10" s="26">
        <f>SUMIF('Raw Data'!$F$2:$F$251,A10,'Raw Data'!$H$2:$H$251)</f>
        <v>87</v>
      </c>
      <c r="D10" s="25">
        <f>SUMIF('Raw Data'!$F$2:$F$251,A10,'Raw Data'!$N$2:$N$251)</f>
        <v>5219.1299999999974</v>
      </c>
      <c r="E10" s="23">
        <f t="shared" si="0"/>
        <v>4</v>
      </c>
      <c r="H10" s="24" t="str">
        <f>'Sales Analysis'!$A$41</f>
        <v>Blender</v>
      </c>
      <c r="I10" s="45" t="str">
        <f>'Sales Analysis'!$J$41</f>
        <v>BLE</v>
      </c>
      <c r="J10" s="45" t="str">
        <f>UPPER(LEFT('Sales Analysis'!$I$41,3))</f>
        <v>APP</v>
      </c>
    </row>
    <row r="11" spans="1:10" x14ac:dyDescent="0.25">
      <c r="A11" s="24" t="str">
        <f>'Sales Analysis'!$A$42</f>
        <v>Office Chair</v>
      </c>
      <c r="B11" s="26">
        <f>COUNTIF('Raw Data'!$F$2:$F$251,A11)</f>
        <v>15</v>
      </c>
      <c r="C11" s="26">
        <f>SUMIF('Raw Data'!$F$2:$F$251,A11,'Raw Data'!$H$2:$H$251)</f>
        <v>52</v>
      </c>
      <c r="D11" s="25">
        <f>SUMIF('Raw Data'!$F$2:$F$251,A11,'Raw Data'!$N$2:$N$251)</f>
        <v>10399.479999999998</v>
      </c>
      <c r="E11" s="23">
        <f t="shared" si="0"/>
        <v>9</v>
      </c>
      <c r="H11" s="24" t="str">
        <f>'Sales Analysis'!$A$42</f>
        <v>Office Chair</v>
      </c>
      <c r="I11" s="45" t="str">
        <f>'Sales Analysis'!$J$42</f>
        <v>OC</v>
      </c>
      <c r="J11" s="45" t="str">
        <f>UPPER(LEFT('Sales Analysis'!$I$42,3))</f>
        <v>FUR</v>
      </c>
    </row>
    <row r="12" spans="1:10" x14ac:dyDescent="0.25">
      <c r="A12" s="24" t="str">
        <f>'Sales Analysis'!$A$43</f>
        <v>Desk</v>
      </c>
      <c r="B12" s="26">
        <f>COUNTIF('Raw Data'!$F$2:$F$251,A12)</f>
        <v>26</v>
      </c>
      <c r="C12" s="26">
        <f>SUMIF('Raw Data'!$F$2:$F$251,A12,'Raw Data'!$H$2:$H$251)</f>
        <v>78</v>
      </c>
      <c r="D12" s="25">
        <f>SUMIF('Raw Data'!$F$2:$F$251,A12,'Raw Data'!$N$2:$N$251)</f>
        <v>23399.22</v>
      </c>
      <c r="E12" s="23">
        <f t="shared" si="0"/>
        <v>5</v>
      </c>
      <c r="H12" s="24" t="str">
        <f>'Sales Analysis'!$A$43</f>
        <v>Desk</v>
      </c>
      <c r="I12" s="45" t="str">
        <f>'Sales Analysis'!$J$43</f>
        <v>DES</v>
      </c>
      <c r="J12" s="45" t="str">
        <f>UPPER(LEFT('Sales Analysis'!$I$43,3))</f>
        <v>FUR</v>
      </c>
    </row>
    <row r="13" spans="1:10" x14ac:dyDescent="0.25">
      <c r="A13" s="24" t="str">
        <f>'Sales Analysis'!$A$44</f>
        <v>Bookshelf</v>
      </c>
      <c r="B13" s="26">
        <f>COUNTIF('Raw Data'!$F$2:$F$251,A13)</f>
        <v>35</v>
      </c>
      <c r="C13" s="26">
        <f>SUMIF('Raw Data'!$F$2:$F$251,A13,'Raw Data'!$H$2:$H$251)</f>
        <v>102</v>
      </c>
      <c r="D13" s="25">
        <f>SUMIF('Raw Data'!$F$2:$F$251,A13,'Raw Data'!$N$2:$N$251)</f>
        <v>15298.979999999994</v>
      </c>
      <c r="E13" s="23">
        <f t="shared" si="0"/>
        <v>1</v>
      </c>
      <c r="H13" s="24" t="str">
        <f>'Sales Analysis'!$A$44</f>
        <v>Bookshelf</v>
      </c>
      <c r="I13" s="45" t="str">
        <f>'Sales Analysis'!$J$44</f>
        <v>BOO</v>
      </c>
      <c r="J13" s="45" t="str">
        <f>UPPER(LEFT('Sales Analysis'!$I$44,3))</f>
        <v>FUR</v>
      </c>
    </row>
    <row r="14" spans="1:10" x14ac:dyDescent="0.25">
      <c r="A14" s="24" t="str">
        <f>'Sales Analysis'!$A$45</f>
        <v>Monitor</v>
      </c>
      <c r="B14" s="26">
        <f>COUNTIF('Raw Data'!$F$2:$F$251,A14)</f>
        <v>26</v>
      </c>
      <c r="C14" s="26">
        <f>SUMIF('Raw Data'!$F$2:$F$251,A14,'Raw Data'!$H$2:$H$251)</f>
        <v>88</v>
      </c>
      <c r="D14" s="25">
        <f>SUMIF('Raw Data'!$F$2:$F$251,A14,'Raw Data'!$N$2:$N$251)</f>
        <v>21999.119999999999</v>
      </c>
      <c r="E14" s="23">
        <f t="shared" si="0"/>
        <v>5</v>
      </c>
      <c r="H14" s="24" t="str">
        <f>'Sales Analysis'!$A$45</f>
        <v>Monitor</v>
      </c>
      <c r="I14" s="45" t="str">
        <f>'Sales Analysis'!$J$45</f>
        <v>MON</v>
      </c>
      <c r="J14" s="45" t="str">
        <f>UPPER(LEFT('Sales Analysis'!$I$45,3))</f>
        <v>ELE</v>
      </c>
    </row>
    <row r="15" spans="1:10" x14ac:dyDescent="0.25">
      <c r="A15" s="24" t="str">
        <f>'Sales Analysis'!$A$46</f>
        <v>Keyboard</v>
      </c>
      <c r="B15" s="26">
        <f>COUNTIF('Raw Data'!$F$2:$F$251,A15)</f>
        <v>34</v>
      </c>
      <c r="C15" s="26">
        <f>SUMIF('Raw Data'!$F$2:$F$251,A15,'Raw Data'!$H$2:$H$251)</f>
        <v>89</v>
      </c>
      <c r="D15" s="25">
        <f>SUMIF('Raw Data'!$F$2:$F$251,A15,'Raw Data'!$N$2:$N$251)</f>
        <v>8009.1099999999969</v>
      </c>
      <c r="E15" s="23">
        <f t="shared" si="0"/>
        <v>2</v>
      </c>
      <c r="H15" s="24" t="str">
        <f>'Sales Analysis'!$A$46</f>
        <v>Keyboard</v>
      </c>
      <c r="I15" s="45" t="str">
        <f>'Sales Analysis'!$J$46</f>
        <v>KEY</v>
      </c>
      <c r="J15" s="45" t="str">
        <f>UPPER(LEFT('Sales Analysis'!$I$46,3))</f>
        <v>ELE</v>
      </c>
    </row>
    <row r="17" spans="1:11" x14ac:dyDescent="0.25">
      <c r="A17" s="48" t="s">
        <v>212</v>
      </c>
      <c r="B17" s="54" t="str">
        <f>INDEX($A$6:$A$15,MATCH(MAX($B$6:$B$15),$B$6:$B$15,0))</f>
        <v>Bookshelf</v>
      </c>
      <c r="C17" s="55" t="str">
        <f>MAX($B$6:$B$15)&amp;" orders"</f>
        <v>35 orders</v>
      </c>
    </row>
    <row r="18" spans="1:11" ht="30" customHeight="1" x14ac:dyDescent="0.25">
      <c r="A18" s="48" t="s">
        <v>213</v>
      </c>
      <c r="B18" s="54" t="str">
        <f>INDEX($A$6:$A$15,MATCH(MAX($C$6:$C$15),$C$6:$C$15,0))</f>
        <v>Bookshelf</v>
      </c>
      <c r="C18" s="55" t="str">
        <f>TEXT(MAX($C$6:$C$15),"#,##0")&amp;" units"</f>
        <v>102 units</v>
      </c>
      <c r="H18" s="22" t="s">
        <v>2</v>
      </c>
      <c r="I18" s="22" t="s">
        <v>214</v>
      </c>
      <c r="J18" s="22" t="s">
        <v>215</v>
      </c>
    </row>
    <row r="19" spans="1:11" x14ac:dyDescent="0.25">
      <c r="A19" s="48" t="s">
        <v>216</v>
      </c>
      <c r="B19" s="54" t="str">
        <f>INDEX($A$6:$A$15,MATCH(MAX($D$6:$D$15),$D$6:$D$15,0))</f>
        <v>Laptop</v>
      </c>
      <c r="C19" s="55" t="str">
        <f>TEXT(MAX($D$6:$D$15),"$#,##0")</f>
        <v>$67,499</v>
      </c>
      <c r="H19" s="24" t="str">
        <f>'Sales Analysis'!$A$6</f>
        <v>Central</v>
      </c>
      <c r="I19" s="45" t="str">
        <f>UPPER(LEFT(H19,3))</f>
        <v>CEN</v>
      </c>
      <c r="J19" s="45" t="s">
        <v>217</v>
      </c>
    </row>
    <row r="20" spans="1:11" x14ac:dyDescent="0.25">
      <c r="H20" s="24" t="str">
        <f>'Sales Analysis'!$A$7</f>
        <v>East</v>
      </c>
      <c r="I20" s="45" t="str">
        <f>UPPER(LEFT(H20,3))</f>
        <v>EAS</v>
      </c>
      <c r="J20" s="45" t="s">
        <v>217</v>
      </c>
    </row>
    <row r="21" spans="1:11" ht="15" customHeight="1" x14ac:dyDescent="0.3">
      <c r="A21" s="21" t="s">
        <v>218</v>
      </c>
      <c r="H21" s="24" t="str">
        <f>'Sales Analysis'!$A$8</f>
        <v>North</v>
      </c>
      <c r="I21" s="45" t="str">
        <f>UPPER(LEFT(H21,3))</f>
        <v>NOR</v>
      </c>
      <c r="J21" s="45" t="s">
        <v>217</v>
      </c>
    </row>
    <row r="22" spans="1:11" x14ac:dyDescent="0.25">
      <c r="A22" s="48" t="s">
        <v>219</v>
      </c>
      <c r="B22" s="50">
        <f>SUMPRODUCT(1/COUNTIF('Raw Data'!$D$2:$D$251,'Raw Data'!$D$2:$D$251))</f>
        <v>50.000000000000028</v>
      </c>
      <c r="H22" s="24" t="str">
        <f>'Sales Analysis'!$A$9</f>
        <v>South</v>
      </c>
      <c r="I22" s="45" t="str">
        <f>UPPER(LEFT(H22,3))</f>
        <v>SOU</v>
      </c>
      <c r="J22" s="45" t="s">
        <v>217</v>
      </c>
    </row>
    <row r="23" spans="1:11" x14ac:dyDescent="0.25">
      <c r="A23" s="48" t="s">
        <v>220</v>
      </c>
      <c r="B23" s="50">
        <f>'Customer Analysis'!H3</f>
        <v>47</v>
      </c>
      <c r="H23" s="24" t="str">
        <f>'Sales Analysis'!$A$10</f>
        <v>West</v>
      </c>
      <c r="I23" s="45" t="str">
        <f>UPPER(LEFT(H23,3))</f>
        <v>WES</v>
      </c>
      <c r="J23" s="45" t="s">
        <v>217</v>
      </c>
    </row>
    <row r="24" spans="1:11" x14ac:dyDescent="0.25">
      <c r="A24" s="48" t="s">
        <v>221</v>
      </c>
      <c r="B24" s="50">
        <f>B22-B23</f>
        <v>3.0000000000000284</v>
      </c>
    </row>
    <row r="25" spans="1:11" x14ac:dyDescent="0.25">
      <c r="A25" s="48" t="s">
        <v>222</v>
      </c>
      <c r="B25" s="54" t="str">
        <f>INDEX('Customer Analysis'!$B$23:$B$72,MATCH(MAX('Customer Analysis'!$E$23:$E$72),'Customer Analysis'!$E$23:$E$72,0))</f>
        <v>Mark Carter</v>
      </c>
      <c r="C25" s="55" t="str">
        <f>MAX('Customer Analysis'!$E$23:$E$72)&amp;" transactions"</f>
        <v>12 transactions</v>
      </c>
    </row>
    <row r="26" spans="1:11" ht="30" customHeight="1" x14ac:dyDescent="0.25">
      <c r="H26" s="22" t="s">
        <v>223</v>
      </c>
      <c r="I26" s="22" t="s">
        <v>224</v>
      </c>
      <c r="J26" s="22" t="s">
        <v>4</v>
      </c>
      <c r="K26" s="22" t="s">
        <v>225</v>
      </c>
    </row>
    <row r="27" spans="1:11" ht="30" customHeight="1" x14ac:dyDescent="0.25">
      <c r="A27" s="22" t="s">
        <v>25</v>
      </c>
      <c r="B27" s="22" t="s">
        <v>134</v>
      </c>
      <c r="C27" s="22" t="s">
        <v>28</v>
      </c>
      <c r="D27" s="22" t="s">
        <v>27</v>
      </c>
      <c r="H27" s="24" t="str">
        <f>'Raw Data'!A2</f>
        <v>TRX0155</v>
      </c>
      <c r="I27" s="24" t="str">
        <f>TEXT('Raw Data'!B2,"ddd, dd-mmm-yy")</f>
        <v>Thu, 11-Apr-24</v>
      </c>
      <c r="J27" s="24" t="str">
        <f>'Raw Data'!G2</f>
        <v>Electronics</v>
      </c>
      <c r="K27" s="24" t="str">
        <f>UPPER(LEFT('Raw Data'!G2,3))&amp;"-"&amp;TEXT('Raw Data'!B2,"yymm")&amp;"-"&amp;RIGHT('Raw Data'!A2,4)</f>
        <v>ELE-2404-0155</v>
      </c>
    </row>
    <row r="28" spans="1:11" x14ac:dyDescent="0.25">
      <c r="A28" s="23">
        <v>1</v>
      </c>
      <c r="B28" s="24" t="str">
        <f>INDEX('Customer Analysis'!$B$23:$B$72,MATCH($A28,'Customer Analysis'!$R$23:$R$72,0))</f>
        <v>Mark Carter</v>
      </c>
      <c r="C28" s="26">
        <f>INDEX('Customer Analysis'!$E$23:$E$72,MATCH($A28,'Customer Analysis'!$R$23:$R$72,0))</f>
        <v>12</v>
      </c>
      <c r="D28" s="25">
        <f>INDEX('Customer Analysis'!$G$23:$G$72,MATCH($A28,'Customer Analysis'!$R$23:$R$72,0))</f>
        <v>15659.65</v>
      </c>
      <c r="H28" s="24" t="str">
        <f>'Raw Data'!A3</f>
        <v>TRX0023</v>
      </c>
      <c r="I28" s="24" t="str">
        <f>TEXT('Raw Data'!B3,"ddd, dd-mmm-yy")</f>
        <v>Sun, 14-Apr-24</v>
      </c>
      <c r="J28" s="24" t="str">
        <f>'Raw Data'!G3</f>
        <v>Electronics</v>
      </c>
      <c r="K28" s="24" t="str">
        <f>UPPER(LEFT('Raw Data'!G3,3))&amp;"-"&amp;TEXT('Raw Data'!B3,"yymm")&amp;"-"&amp;RIGHT('Raw Data'!A3,4)</f>
        <v>ELE-2404-0023</v>
      </c>
    </row>
    <row r="29" spans="1:11" x14ac:dyDescent="0.25">
      <c r="A29" s="23">
        <v>2</v>
      </c>
      <c r="B29" s="24" t="str">
        <f>INDEX('Customer Analysis'!$B$23:$B$72,MATCH($A29,'Customer Analysis'!$R$23:$R$72,0))</f>
        <v>Michael Brown</v>
      </c>
      <c r="C29" s="26">
        <f>INDEX('Customer Analysis'!$E$23:$E$72,MATCH($A29,'Customer Analysis'!$R$23:$R$72,0))</f>
        <v>9</v>
      </c>
      <c r="D29" s="25">
        <f>INDEX('Customer Analysis'!$G$23:$G$72,MATCH($A29,'Customer Analysis'!$R$23:$R$72,0))</f>
        <v>6169.7400000000007</v>
      </c>
      <c r="H29" s="24" t="str">
        <f>'Raw Data'!A4</f>
        <v>TRX0139</v>
      </c>
      <c r="I29" s="24" t="str">
        <f>TEXT('Raw Data'!B4,"ddd, dd-mmm-yy")</f>
        <v>Wed, 17-Apr-24</v>
      </c>
      <c r="J29" s="24" t="str">
        <f>'Raw Data'!G4</f>
        <v>Appliances</v>
      </c>
      <c r="K29" s="24" t="str">
        <f>UPPER(LEFT('Raw Data'!G4,3))&amp;"-"&amp;TEXT('Raw Data'!B4,"yymm")&amp;"-"&amp;RIGHT('Raw Data'!A4,4)</f>
        <v>APP-2404-0139</v>
      </c>
    </row>
    <row r="30" spans="1:11" x14ac:dyDescent="0.25">
      <c r="A30" s="23">
        <v>3</v>
      </c>
      <c r="B30" s="24" t="str">
        <f>INDEX('Customer Analysis'!$B$23:$B$72,MATCH($A30,'Customer Analysis'!$R$23:$R$72,0))</f>
        <v>Charles Allen</v>
      </c>
      <c r="C30" s="26">
        <f>INDEX('Customer Analysis'!$E$23:$E$72,MATCH($A30,'Customer Analysis'!$R$23:$R$72,0))</f>
        <v>9</v>
      </c>
      <c r="D30" s="25">
        <f>INDEX('Customer Analysis'!$G$23:$G$72,MATCH($A30,'Customer Analysis'!$R$23:$R$72,0))</f>
        <v>5089.7300000000005</v>
      </c>
      <c r="H30" s="24" t="str">
        <f>'Raw Data'!A5</f>
        <v>TRX0043</v>
      </c>
      <c r="I30" s="24" t="str">
        <f>TEXT('Raw Data'!B5,"ddd, dd-mmm-yy")</f>
        <v>Thu, 18-Apr-24</v>
      </c>
      <c r="J30" s="24" t="str">
        <f>'Raw Data'!G5</f>
        <v>Appliances</v>
      </c>
      <c r="K30" s="24" t="str">
        <f>UPPER(LEFT('Raw Data'!G5,3))&amp;"-"&amp;TEXT('Raw Data'!B5,"yymm")&amp;"-"&amp;RIGHT('Raw Data'!A5,4)</f>
        <v>APP-2404-0043</v>
      </c>
    </row>
    <row r="31" spans="1:11" x14ac:dyDescent="0.25">
      <c r="A31" s="23">
        <v>4</v>
      </c>
      <c r="B31" s="24" t="str">
        <f>INDEX('Customer Analysis'!$B$23:$B$72,MATCH($A31,'Customer Analysis'!$R$23:$R$72,0))</f>
        <v>Patricia Moore</v>
      </c>
      <c r="C31" s="26">
        <f>INDEX('Customer Analysis'!$E$23:$E$72,MATCH($A31,'Customer Analysis'!$R$23:$R$72,0))</f>
        <v>8</v>
      </c>
      <c r="D31" s="25">
        <f>INDEX('Customer Analysis'!$G$23:$G$72,MATCH($A31,'Customer Analysis'!$R$23:$R$72,0))</f>
        <v>9799.73</v>
      </c>
      <c r="H31" s="24" t="str">
        <f>'Raw Data'!A6</f>
        <v>TRX0212</v>
      </c>
      <c r="I31" s="24" t="str">
        <f>TEXT('Raw Data'!B6,"ddd, dd-mmm-yy")</f>
        <v>Thu, 18-Apr-24</v>
      </c>
      <c r="J31" s="24" t="str">
        <f>'Raw Data'!G6</f>
        <v>Furniture</v>
      </c>
      <c r="K31" s="24" t="str">
        <f>UPPER(LEFT('Raw Data'!G6,3))&amp;"-"&amp;TEXT('Raw Data'!B6,"yymm")&amp;"-"&amp;RIGHT('Raw Data'!A6,4)</f>
        <v>FUR-2404-0212</v>
      </c>
    </row>
    <row r="32" spans="1:11" x14ac:dyDescent="0.25">
      <c r="A32" s="23">
        <v>5</v>
      </c>
      <c r="B32" s="24" t="str">
        <f>INDEX('Customer Analysis'!$B$23:$B$72,MATCH($A32,'Customer Analysis'!$R$23:$R$72,0))</f>
        <v>Paul Baker</v>
      </c>
      <c r="C32" s="26">
        <f>INDEX('Customer Analysis'!$E$23:$E$72,MATCH($A32,'Customer Analysis'!$R$23:$R$72,0))</f>
        <v>8</v>
      </c>
      <c r="D32" s="25">
        <f>INDEX('Customer Analysis'!$G$23:$G$72,MATCH($A32,'Customer Analysis'!$R$23:$R$72,0))</f>
        <v>8309.739999999998</v>
      </c>
      <c r="H32" s="24" t="str">
        <f>'Raw Data'!A7</f>
        <v>TRX0092</v>
      </c>
      <c r="I32" s="24" t="str">
        <f>TEXT('Raw Data'!B7,"ddd, dd-mmm-yy")</f>
        <v>Sun, 21-Apr-24</v>
      </c>
      <c r="J32" s="24" t="str">
        <f>'Raw Data'!G7</f>
        <v>Appliances</v>
      </c>
      <c r="K32" s="24" t="str">
        <f>UPPER(LEFT('Raw Data'!G7,3))&amp;"-"&amp;TEXT('Raw Data'!B7,"yymm")&amp;"-"&amp;RIGHT('Raw Data'!A7,4)</f>
        <v>APP-2404-0092</v>
      </c>
    </row>
    <row r="33" spans="1:11" x14ac:dyDescent="0.25">
      <c r="A33" s="23">
        <v>6</v>
      </c>
      <c r="B33" s="24" t="str">
        <f>INDEX('Customer Analysis'!$B$23:$B$72,MATCH($A33,'Customer Analysis'!$R$23:$R$72,0))</f>
        <v>Karen Hill</v>
      </c>
      <c r="C33" s="26">
        <f>INDEX('Customer Analysis'!$E$23:$E$72,MATCH($A33,'Customer Analysis'!$R$23:$R$72,0))</f>
        <v>8</v>
      </c>
      <c r="D33" s="25">
        <f>INDEX('Customer Analysis'!$G$23:$G$72,MATCH($A33,'Customer Analysis'!$R$23:$R$72,0))</f>
        <v>8009.7699999999995</v>
      </c>
      <c r="H33" s="24" t="str">
        <f>'Raw Data'!A8</f>
        <v>TRX0193</v>
      </c>
      <c r="I33" s="24" t="str">
        <f>TEXT('Raw Data'!B8,"ddd, dd-mmm-yy")</f>
        <v>Sun, 21-Apr-24</v>
      </c>
      <c r="J33" s="24" t="str">
        <f>'Raw Data'!G8</f>
        <v>Electronics</v>
      </c>
      <c r="K33" s="24" t="str">
        <f>UPPER(LEFT('Raw Data'!G8,3))&amp;"-"&amp;TEXT('Raw Data'!B8,"yymm")&amp;"-"&amp;RIGHT('Raw Data'!A8,4)</f>
        <v>ELE-2404-0193</v>
      </c>
    </row>
    <row r="34" spans="1:11" x14ac:dyDescent="0.25">
      <c r="A34" s="23">
        <v>7</v>
      </c>
      <c r="B34" s="24" t="str">
        <f>INDEX('Customer Analysis'!$B$23:$B$72,MATCH($A34,'Customer Analysis'!$R$23:$R$72,0))</f>
        <v>Lawrence Reed</v>
      </c>
      <c r="C34" s="26">
        <f>INDEX('Customer Analysis'!$E$23:$E$72,MATCH($A34,'Customer Analysis'!$R$23:$R$72,0))</f>
        <v>8</v>
      </c>
      <c r="D34" s="25">
        <f>INDEX('Customer Analysis'!$G$23:$G$72,MATCH($A34,'Customer Analysis'!$R$23:$R$72,0))</f>
        <v>6989.7699999999986</v>
      </c>
      <c r="H34" s="24" t="str">
        <f>'Raw Data'!A9</f>
        <v>TRX0240</v>
      </c>
      <c r="I34" s="24" t="str">
        <f>TEXT('Raw Data'!B9,"ddd, dd-mmm-yy")</f>
        <v>Sun, 21-Apr-24</v>
      </c>
      <c r="J34" s="24" t="str">
        <f>'Raw Data'!G9</f>
        <v>Appliances</v>
      </c>
      <c r="K34" s="24" t="str">
        <f>UPPER(LEFT('Raw Data'!G9,3))&amp;"-"&amp;TEXT('Raw Data'!B9,"yymm")&amp;"-"&amp;RIGHT('Raw Data'!A9,4)</f>
        <v>APP-2404-0240</v>
      </c>
    </row>
    <row r="35" spans="1:11" x14ac:dyDescent="0.25">
      <c r="A35" s="23">
        <v>8</v>
      </c>
      <c r="B35" s="24" t="str">
        <f>INDEX('Customer Analysis'!$B$23:$B$72,MATCH($A35,'Customer Analysis'!$R$23:$R$72,0))</f>
        <v>Daniel King</v>
      </c>
      <c r="C35" s="26">
        <f>INDEX('Customer Analysis'!$E$23:$E$72,MATCH($A35,'Customer Analysis'!$R$23:$R$72,0))</f>
        <v>7</v>
      </c>
      <c r="D35" s="25">
        <f>INDEX('Customer Analysis'!$G$23:$G$72,MATCH($A35,'Customer Analysis'!$R$23:$R$72,0))</f>
        <v>7309.7999999999993</v>
      </c>
      <c r="H35" s="24" t="str">
        <f>'Raw Data'!A10</f>
        <v>TRX0135</v>
      </c>
      <c r="I35" s="24" t="str">
        <f>TEXT('Raw Data'!B10,"ddd, dd-mmm-yy")</f>
        <v>Tue, 23-Apr-24</v>
      </c>
      <c r="J35" s="24" t="str">
        <f>'Raw Data'!G10</f>
        <v>Electronics</v>
      </c>
      <c r="K35" s="24" t="str">
        <f>UPPER(LEFT('Raw Data'!G10,3))&amp;"-"&amp;TEXT('Raw Data'!B10,"yymm")&amp;"-"&amp;RIGHT('Raw Data'!A10,4)</f>
        <v>ELE-2404-0135</v>
      </c>
    </row>
    <row r="36" spans="1:11" x14ac:dyDescent="0.25">
      <c r="A36" s="23">
        <v>9</v>
      </c>
      <c r="B36" s="24" t="str">
        <f>INDEX('Customer Analysis'!$B$23:$B$72,MATCH($A36,'Customer Analysis'!$R$23:$R$72,0))</f>
        <v>Helen Roberts</v>
      </c>
      <c r="C36" s="26">
        <f>INDEX('Customer Analysis'!$E$23:$E$72,MATCH($A36,'Customer Analysis'!$R$23:$R$72,0))</f>
        <v>7</v>
      </c>
      <c r="D36" s="25">
        <f>INDEX('Customer Analysis'!$G$23:$G$72,MATCH($A36,'Customer Analysis'!$R$23:$R$72,0))</f>
        <v>6459.79</v>
      </c>
      <c r="H36" s="24" t="str">
        <f>'Raw Data'!A11</f>
        <v>TRX0185</v>
      </c>
      <c r="I36" s="24" t="str">
        <f>TEXT('Raw Data'!B11,"ddd, dd-mmm-yy")</f>
        <v>Fri, 26-Apr-24</v>
      </c>
      <c r="J36" s="24" t="str">
        <f>'Raw Data'!G11</f>
        <v>Appliances</v>
      </c>
      <c r="K36" s="24" t="str">
        <f>UPPER(LEFT('Raw Data'!G11,3))&amp;"-"&amp;TEXT('Raw Data'!B11,"yymm")&amp;"-"&amp;RIGHT('Raw Data'!A11,4)</f>
        <v>APP-2404-0185</v>
      </c>
    </row>
    <row r="37" spans="1:11" x14ac:dyDescent="0.25">
      <c r="A37" s="23">
        <v>10</v>
      </c>
      <c r="B37" s="24" t="str">
        <f>INDEX('Customer Analysis'!$B$23:$B$72,MATCH($A37,'Customer Analysis'!$R$23:$R$72,0))</f>
        <v>David Martinez</v>
      </c>
      <c r="C37" s="26">
        <f>INDEX('Customer Analysis'!$E$23:$E$72,MATCH($A37,'Customer Analysis'!$R$23:$R$72,0))</f>
        <v>6</v>
      </c>
      <c r="D37" s="25">
        <f>INDEX('Customer Analysis'!$G$23:$G$72,MATCH($A37,'Customer Analysis'!$R$23:$R$72,0))</f>
        <v>1809.84</v>
      </c>
    </row>
    <row r="39" spans="1:11" ht="30" customHeight="1" x14ac:dyDescent="0.25">
      <c r="H39" s="22" t="s">
        <v>226</v>
      </c>
      <c r="I39" s="22" t="s">
        <v>140</v>
      </c>
      <c r="J39" s="22" t="s">
        <v>141</v>
      </c>
    </row>
    <row r="40" spans="1:11" ht="15" customHeight="1" x14ac:dyDescent="0.3">
      <c r="A40" s="21" t="s">
        <v>227</v>
      </c>
      <c r="H40" s="24" t="str">
        <f>'Customer Analysis'!$C$9</f>
        <v>Mark Carter</v>
      </c>
      <c r="I40" s="45" t="str">
        <f>INDEX('Customer Analysis'!$C$23:$C$72,MATCH('Customer Analysis'!$B$9,'Customer Analysis'!$A$23:$A$72,0))</f>
        <v>MC</v>
      </c>
      <c r="J40" s="45" t="str">
        <f>INDEX('Customer Analysis'!$D$23:$D$72,MATCH('Customer Analysis'!$B$9,'Customer Analysis'!$A$23:$A$72,0))</f>
        <v>MCAR-025</v>
      </c>
    </row>
    <row r="41" spans="1:11" x14ac:dyDescent="0.25">
      <c r="A41" s="30"/>
      <c r="H41" s="24" t="str">
        <f>'Customer Analysis'!$C$10</f>
        <v>Edward Mitchell</v>
      </c>
      <c r="I41" s="45" t="str">
        <f>INDEX('Customer Analysis'!$C$23:$C$72,MATCH('Customer Analysis'!$B$10,'Customer Analysis'!$A$23:$A$72,0))</f>
        <v>EM</v>
      </c>
      <c r="J41" s="45" t="str">
        <f>INDEX('Customer Analysis'!$D$23:$D$72,MATCH('Customer Analysis'!$B$10,'Customer Analysis'!$A$23:$A$72,0))</f>
        <v>EMIT-029</v>
      </c>
    </row>
    <row r="42" spans="1:11" x14ac:dyDescent="0.25">
      <c r="A42" s="48" t="s">
        <v>228</v>
      </c>
      <c r="B42" s="50">
        <f>COUNTIF(D45:D94,"?*")</f>
        <v>43</v>
      </c>
      <c r="C42" s="48" t="s">
        <v>229</v>
      </c>
      <c r="D42" s="50">
        <f>COUNTIF(E45:E94,"?*")</f>
        <v>3</v>
      </c>
      <c r="E42" s="48" t="s">
        <v>230</v>
      </c>
      <c r="F42" s="50">
        <f>COUNTIF(F45:F94,"?*")</f>
        <v>4</v>
      </c>
      <c r="H42" s="24" t="str">
        <f>'Customer Analysis'!$C$11</f>
        <v>Barbara Young</v>
      </c>
      <c r="I42" s="45" t="str">
        <f>INDEX('Customer Analysis'!$C$23:$C$72,MATCH('Customer Analysis'!$B$11,'Customer Analysis'!$A$23:$A$72,0))</f>
        <v>BY</v>
      </c>
      <c r="J42" s="45" t="str">
        <f>INDEX('Customer Analysis'!$D$23:$D$72,MATCH('Customer Analysis'!$B$11,'Customer Analysis'!$A$23:$A$72,0))</f>
        <v>BYOU-018</v>
      </c>
    </row>
    <row r="43" spans="1:11" x14ac:dyDescent="0.25">
      <c r="H43" s="24" t="str">
        <f>'Customer Analysis'!$C$12</f>
        <v>Patricia Moore</v>
      </c>
      <c r="I43" s="45" t="str">
        <f>INDEX('Customer Analysis'!$C$23:$C$72,MATCH('Customer Analysis'!$B$12,'Customer Analysis'!$A$23:$A$72,0))</f>
        <v>PM</v>
      </c>
      <c r="J43" s="45" t="str">
        <f>INDEX('Customer Analysis'!$D$23:$D$72,MATCH('Customer Analysis'!$B$12,'Customer Analysis'!$A$23:$A$72,0))</f>
        <v>PMOO-012</v>
      </c>
    </row>
    <row r="44" spans="1:11" ht="30" customHeight="1" x14ac:dyDescent="0.25">
      <c r="A44" s="22" t="s">
        <v>59</v>
      </c>
      <c r="B44" s="22" t="s">
        <v>231</v>
      </c>
      <c r="C44" s="22" t="s">
        <v>232</v>
      </c>
      <c r="D44" s="22" t="s">
        <v>233</v>
      </c>
      <c r="E44" s="22" t="s">
        <v>229</v>
      </c>
      <c r="F44" s="22" t="s">
        <v>230</v>
      </c>
      <c r="H44" s="24" t="str">
        <f>'Customer Analysis'!$C$13</f>
        <v>Paul Baker</v>
      </c>
      <c r="I44" s="45" t="str">
        <f>INDEX('Customer Analysis'!$C$23:$C$72,MATCH('Customer Analysis'!$B$13,'Customer Analysis'!$A$23:$A$72,0))</f>
        <v>PB</v>
      </c>
      <c r="J44" s="45" t="str">
        <f>INDEX('Customer Analysis'!$D$23:$D$72,MATCH('Customer Analysis'!$B$13,'Customer Analysis'!$A$23:$A$72,0))</f>
        <v>PBAK-023</v>
      </c>
    </row>
    <row r="45" spans="1:11" x14ac:dyDescent="0.25">
      <c r="A45" s="23">
        <v>1</v>
      </c>
      <c r="B45" s="24" t="str">
        <f>IFERROR(INDEX('Customer Analysis'!$B$23:$B$72,MATCH($A45,'Customer Analysis'!$U$23:$U$72,0)),"")</f>
        <v>Emma Wilson</v>
      </c>
      <c r="C45" s="24" t="str">
        <f>IFERROR(INDEX('Customer Analysis'!$B$23:$B$72,MATCH($A45,'Customer Analysis'!$V$23:$V$72,0)),"")</f>
        <v>John Smith</v>
      </c>
      <c r="D45" s="24" t="str">
        <f t="shared" ref="D45:D76" si="1">IF(B45="","",IF(COUNTIF($C$45:$C$94,B45)&gt;0,B45,""))</f>
        <v>Emma Wilson</v>
      </c>
      <c r="E45" s="24" t="str">
        <f t="shared" ref="E45:E76" si="2">IF(B45="","",IF(COUNTIF($C$45:$C$94,B45)=0,B45,""))</f>
        <v/>
      </c>
      <c r="F45" s="24" t="str">
        <f t="shared" ref="F45:F76" si="3">IF(C45="","",IF(COUNTIF($B$45:$B$94,C45)=0,C45,""))</f>
        <v>John Smith</v>
      </c>
      <c r="H45" s="24" t="str">
        <f>'Customer Analysis'!$C$14</f>
        <v>Dorothy Nelson</v>
      </c>
      <c r="I45" s="45" t="str">
        <f>INDEX('Customer Analysis'!$C$23:$C$72,MATCH('Customer Analysis'!$B$14,'Customer Analysis'!$A$23:$A$72,0))</f>
        <v>DN</v>
      </c>
      <c r="J45" s="45" t="str">
        <f>INDEX('Customer Analysis'!$D$23:$D$72,MATCH('Customer Analysis'!$B$14,'Customer Analysis'!$A$23:$A$72,0))</f>
        <v>DNEL-024</v>
      </c>
    </row>
    <row r="46" spans="1:11" x14ac:dyDescent="0.25">
      <c r="A46" s="23">
        <v>2</v>
      </c>
      <c r="B46" s="24" t="str">
        <f>IFERROR(INDEX('Customer Analysis'!$B$23:$B$72,MATCH($A46,'Customer Analysis'!$U$23:$U$72,0)),"")</f>
        <v>Michael Brown</v>
      </c>
      <c r="C46" s="24" t="str">
        <f>IFERROR(INDEX('Customer Analysis'!$B$23:$B$72,MATCH($A46,'Customer Analysis'!$V$23:$V$72,0)),"")</f>
        <v>Emma Wilson</v>
      </c>
      <c r="D46" s="24" t="str">
        <f t="shared" si="1"/>
        <v>Michael Brown</v>
      </c>
      <c r="E46" s="24" t="str">
        <f t="shared" si="2"/>
        <v/>
      </c>
      <c r="F46" s="24" t="str">
        <f t="shared" si="3"/>
        <v/>
      </c>
      <c r="H46" s="24" t="str">
        <f>'Customer Analysis'!$C$15</f>
        <v>Karen Hill</v>
      </c>
      <c r="I46" s="45" t="str">
        <f>INDEX('Customer Analysis'!$C$23:$C$72,MATCH('Customer Analysis'!$B$15,'Customer Analysis'!$A$23:$A$72,0))</f>
        <v>KH</v>
      </c>
      <c r="J46" s="45" t="str">
        <f>INDEX('Customer Analysis'!$D$23:$D$72,MATCH('Customer Analysis'!$B$15,'Customer Analysis'!$A$23:$A$72,0))</f>
        <v>KHIL-026</v>
      </c>
    </row>
    <row r="47" spans="1:11" x14ac:dyDescent="0.25">
      <c r="A47" s="23">
        <v>3</v>
      </c>
      <c r="B47" s="24" t="str">
        <f>IFERROR(INDEX('Customer Analysis'!$B$23:$B$72,MATCH($A47,'Customer Analysis'!$U$23:$U$72,0)),"")</f>
        <v>Sarah Davis</v>
      </c>
      <c r="C47" s="24" t="str">
        <f>IFERROR(INDEX('Customer Analysis'!$B$23:$B$72,MATCH($A47,'Customer Analysis'!$V$23:$V$72,0)),"")</f>
        <v>Michael Brown</v>
      </c>
      <c r="D47" s="24" t="str">
        <f t="shared" si="1"/>
        <v>Sarah Davis</v>
      </c>
      <c r="E47" s="24" t="str">
        <f t="shared" si="2"/>
        <v/>
      </c>
      <c r="F47" s="24" t="str">
        <f t="shared" si="3"/>
        <v/>
      </c>
      <c r="H47" s="24" t="str">
        <f>'Customer Analysis'!$C$16</f>
        <v>Daniel King</v>
      </c>
      <c r="I47" s="45" t="str">
        <f>INDEX('Customer Analysis'!$C$23:$C$72,MATCH('Customer Analysis'!$B$16,'Customer Analysis'!$A$23:$A$72,0))</f>
        <v>DK</v>
      </c>
      <c r="J47" s="45" t="str">
        <f>INDEX('Customer Analysis'!$D$23:$D$72,MATCH('Customer Analysis'!$B$16,'Customer Analysis'!$A$23:$A$72,0))</f>
        <v>DKIN-019</v>
      </c>
    </row>
    <row r="48" spans="1:11" x14ac:dyDescent="0.25">
      <c r="A48" s="23">
        <v>4</v>
      </c>
      <c r="B48" s="24" t="str">
        <f>IFERROR(INDEX('Customer Analysis'!$B$23:$B$72,MATCH($A48,'Customer Analysis'!$U$23:$U$72,0)),"")</f>
        <v>Lisa Anderson</v>
      </c>
      <c r="C48" s="24" t="str">
        <f>IFERROR(INDEX('Customer Analysis'!$B$23:$B$72,MATCH($A48,'Customer Analysis'!$V$23:$V$72,0)),"")</f>
        <v>Sarah Davis</v>
      </c>
      <c r="D48" s="24" t="str">
        <f t="shared" si="1"/>
        <v>Lisa Anderson</v>
      </c>
      <c r="E48" s="24" t="str">
        <f t="shared" si="2"/>
        <v/>
      </c>
      <c r="F48" s="24" t="str">
        <f t="shared" si="3"/>
        <v/>
      </c>
      <c r="H48" s="24" t="str">
        <f>'Customer Analysis'!$C$17</f>
        <v>Lawrence Reed</v>
      </c>
      <c r="I48" s="45" t="str">
        <f>INDEX('Customer Analysis'!$C$23:$C$72,MATCH('Customer Analysis'!$B$17,'Customer Analysis'!$A$23:$A$72,0))</f>
        <v>LR</v>
      </c>
      <c r="J48" s="45" t="str">
        <f>INDEX('Customer Analysis'!$D$23:$D$72,MATCH('Customer Analysis'!$B$17,'Customer Analysis'!$A$23:$A$72,0))</f>
        <v>LREE-039</v>
      </c>
    </row>
    <row r="49" spans="1:10" x14ac:dyDescent="0.25">
      <c r="A49" s="23">
        <v>5</v>
      </c>
      <c r="B49" s="24" t="str">
        <f>IFERROR(INDEX('Customer Analysis'!$B$23:$B$72,MATCH($A49,'Customer Analysis'!$U$23:$U$72,0)),"")</f>
        <v>David Martinez</v>
      </c>
      <c r="C49" s="24" t="str">
        <f>IFERROR(INDEX('Customer Analysis'!$B$23:$B$72,MATCH($A49,'Customer Analysis'!$V$23:$V$72,0)),"")</f>
        <v>James Johnson</v>
      </c>
      <c r="D49" s="24" t="str">
        <f t="shared" si="1"/>
        <v>David Martinez</v>
      </c>
      <c r="E49" s="24" t="str">
        <f t="shared" si="2"/>
        <v/>
      </c>
      <c r="F49" s="24" t="str">
        <f t="shared" si="3"/>
        <v>James Johnson</v>
      </c>
      <c r="H49" s="24" t="str">
        <f>'Customer Analysis'!$C$18</f>
        <v>Joseph Jackson</v>
      </c>
      <c r="I49" s="45" t="str">
        <f>INDEX('Customer Analysis'!$C$23:$C$72,MATCH('Customer Analysis'!$B$18,'Customer Analysis'!$A$23:$A$72,0))</f>
        <v>JJ</v>
      </c>
      <c r="J49" s="45" t="str">
        <f>INDEX('Customer Analysis'!$D$23:$D$72,MATCH('Customer Analysis'!$B$18,'Customer Analysis'!$A$23:$A$72,0))</f>
        <v>JJAC-013</v>
      </c>
    </row>
    <row r="50" spans="1:10" x14ac:dyDescent="0.25">
      <c r="A50" s="23">
        <v>6</v>
      </c>
      <c r="B50" s="24" t="str">
        <f>IFERROR(INDEX('Customer Analysis'!$B$23:$B$72,MATCH($A50,'Customer Analysis'!$U$23:$U$72,0)),"")</f>
        <v>Jennifer Taylor</v>
      </c>
      <c r="C50" s="24" t="str">
        <f>IFERROR(INDEX('Customer Analysis'!$B$23:$B$72,MATCH($A50,'Customer Analysis'!$V$23:$V$72,0)),"")</f>
        <v>Lisa Anderson</v>
      </c>
      <c r="D50" s="24" t="str">
        <f t="shared" si="1"/>
        <v>Jennifer Taylor</v>
      </c>
      <c r="E50" s="24" t="str">
        <f t="shared" si="2"/>
        <v/>
      </c>
      <c r="F50" s="24" t="str">
        <f t="shared" si="3"/>
        <v/>
      </c>
    </row>
    <row r="51" spans="1:10" x14ac:dyDescent="0.25">
      <c r="A51" s="23">
        <v>7</v>
      </c>
      <c r="B51" s="24" t="str">
        <f>IFERROR(INDEX('Customer Analysis'!$B$23:$B$72,MATCH($A51,'Customer Analysis'!$U$23:$U$72,0)),"")</f>
        <v>Robert Thomas</v>
      </c>
      <c r="C51" s="24" t="str">
        <f>IFERROR(INDEX('Customer Analysis'!$B$23:$B$72,MATCH($A51,'Customer Analysis'!$V$23:$V$72,0)),"")</f>
        <v>David Martinez</v>
      </c>
      <c r="D51" s="24" t="str">
        <f t="shared" si="1"/>
        <v>Robert Thomas</v>
      </c>
      <c r="E51" s="24" t="str">
        <f t="shared" si="2"/>
        <v/>
      </c>
      <c r="F51" s="24" t="str">
        <f t="shared" si="3"/>
        <v/>
      </c>
    </row>
    <row r="52" spans="1:10" x14ac:dyDescent="0.25">
      <c r="A52" s="23">
        <v>8</v>
      </c>
      <c r="B52" s="24" t="str">
        <f>IFERROR(INDEX('Customer Analysis'!$B$23:$B$72,MATCH($A52,'Customer Analysis'!$U$23:$U$72,0)),"")</f>
        <v>Maria Garcia</v>
      </c>
      <c r="C52" s="24" t="str">
        <f>IFERROR(INDEX('Customer Analysis'!$B$23:$B$72,MATCH($A52,'Customer Analysis'!$V$23:$V$72,0)),"")</f>
        <v>Jennifer Taylor</v>
      </c>
      <c r="D52" s="24" t="str">
        <f t="shared" si="1"/>
        <v>Maria Garcia</v>
      </c>
      <c r="E52" s="24" t="str">
        <f t="shared" si="2"/>
        <v/>
      </c>
      <c r="F52" s="24" t="str">
        <f t="shared" si="3"/>
        <v/>
      </c>
    </row>
    <row r="53" spans="1:10" x14ac:dyDescent="0.25">
      <c r="A53" s="23">
        <v>9</v>
      </c>
      <c r="B53" s="24" t="str">
        <f>IFERROR(INDEX('Customer Analysis'!$B$23:$B$72,MATCH($A53,'Customer Analysis'!$U$23:$U$72,0)),"")</f>
        <v>William White</v>
      </c>
      <c r="C53" s="24" t="str">
        <f>IFERROR(INDEX('Customer Analysis'!$B$23:$B$72,MATCH($A53,'Customer Analysis'!$V$23:$V$72,0)),"")</f>
        <v>Robert Thomas</v>
      </c>
      <c r="D53" s="24" t="str">
        <f t="shared" si="1"/>
        <v>William White</v>
      </c>
      <c r="E53" s="24" t="str">
        <f t="shared" si="2"/>
        <v/>
      </c>
      <c r="F53" s="24" t="str">
        <f t="shared" si="3"/>
        <v/>
      </c>
    </row>
    <row r="54" spans="1:10" x14ac:dyDescent="0.25">
      <c r="A54" s="23">
        <v>10</v>
      </c>
      <c r="B54" s="24" t="str">
        <f>IFERROR(INDEX('Customer Analysis'!$B$23:$B$72,MATCH($A54,'Customer Analysis'!$U$23:$U$72,0)),"")</f>
        <v>Patricia Moore</v>
      </c>
      <c r="C54" s="24" t="str">
        <f>IFERROR(INDEX('Customer Analysis'!$B$23:$B$72,MATCH($A54,'Customer Analysis'!$V$23:$V$72,0)),"")</f>
        <v>Maria Garcia</v>
      </c>
      <c r="D54" s="24" t="str">
        <f t="shared" si="1"/>
        <v>Patricia Moore</v>
      </c>
      <c r="E54" s="24" t="str">
        <f t="shared" si="2"/>
        <v/>
      </c>
      <c r="F54" s="24" t="str">
        <f t="shared" si="3"/>
        <v/>
      </c>
    </row>
    <row r="55" spans="1:10" x14ac:dyDescent="0.25">
      <c r="A55" s="23">
        <v>11</v>
      </c>
      <c r="B55" s="24" t="str">
        <f>IFERROR(INDEX('Customer Analysis'!$B$23:$B$72,MATCH($A55,'Customer Analysis'!$U$23:$U$72,0)),"")</f>
        <v>Joseph Jackson</v>
      </c>
      <c r="C55" s="24" t="str">
        <f>IFERROR(INDEX('Customer Analysis'!$B$23:$B$72,MATCH($A55,'Customer Analysis'!$V$23:$V$72,0)),"")</f>
        <v>William White</v>
      </c>
      <c r="D55" s="24" t="str">
        <f t="shared" si="1"/>
        <v>Joseph Jackson</v>
      </c>
      <c r="E55" s="24" t="str">
        <f t="shared" si="2"/>
        <v/>
      </c>
      <c r="F55" s="24" t="str">
        <f t="shared" si="3"/>
        <v/>
      </c>
    </row>
    <row r="56" spans="1:10" x14ac:dyDescent="0.25">
      <c r="A56" s="23">
        <v>12</v>
      </c>
      <c r="B56" s="24" t="str">
        <f>IFERROR(INDEX('Customer Analysis'!$B$23:$B$72,MATCH($A56,'Customer Analysis'!$U$23:$U$72,0)),"")</f>
        <v>Linda Martin</v>
      </c>
      <c r="C56" s="24" t="str">
        <f>IFERROR(INDEX('Customer Analysis'!$B$23:$B$72,MATCH($A56,'Customer Analysis'!$V$23:$V$72,0)),"")</f>
        <v>Patricia Moore</v>
      </c>
      <c r="D56" s="24" t="str">
        <f t="shared" si="1"/>
        <v>Linda Martin</v>
      </c>
      <c r="E56" s="24" t="str">
        <f t="shared" si="2"/>
        <v/>
      </c>
      <c r="F56" s="24" t="str">
        <f t="shared" si="3"/>
        <v/>
      </c>
    </row>
    <row r="57" spans="1:10" x14ac:dyDescent="0.25">
      <c r="A57" s="23">
        <v>13</v>
      </c>
      <c r="B57" s="24" t="str">
        <f>IFERROR(INDEX('Customer Analysis'!$B$23:$B$72,MATCH($A57,'Customer Analysis'!$U$23:$U$72,0)),"")</f>
        <v>Richard Lee</v>
      </c>
      <c r="C57" s="24" t="str">
        <f>IFERROR(INDEX('Customer Analysis'!$B$23:$B$72,MATCH($A57,'Customer Analysis'!$V$23:$V$72,0)),"")</f>
        <v>Joseph Jackson</v>
      </c>
      <c r="D57" s="24" t="str">
        <f t="shared" si="1"/>
        <v>Richard Lee</v>
      </c>
      <c r="E57" s="24" t="str">
        <f t="shared" si="2"/>
        <v/>
      </c>
      <c r="F57" s="24" t="str">
        <f t="shared" si="3"/>
        <v/>
      </c>
    </row>
    <row r="58" spans="1:10" x14ac:dyDescent="0.25">
      <c r="A58" s="23">
        <v>14</v>
      </c>
      <c r="B58" s="24" t="str">
        <f>IFERROR(INDEX('Customer Analysis'!$B$23:$B$72,MATCH($A58,'Customer Analysis'!$U$23:$U$72,0)),"")</f>
        <v>Elizabeth Hall</v>
      </c>
      <c r="C58" s="24" t="str">
        <f>IFERROR(INDEX('Customer Analysis'!$B$23:$B$72,MATCH($A58,'Customer Analysis'!$V$23:$V$72,0)),"")</f>
        <v>Linda Martin</v>
      </c>
      <c r="D58" s="24" t="str">
        <f t="shared" si="1"/>
        <v>Elizabeth Hall</v>
      </c>
      <c r="E58" s="24" t="str">
        <f t="shared" si="2"/>
        <v/>
      </c>
      <c r="F58" s="24" t="str">
        <f t="shared" si="3"/>
        <v/>
      </c>
    </row>
    <row r="59" spans="1:10" x14ac:dyDescent="0.25">
      <c r="A59" s="23">
        <v>15</v>
      </c>
      <c r="B59" s="24" t="str">
        <f>IFERROR(INDEX('Customer Analysis'!$B$23:$B$72,MATCH($A59,'Customer Analysis'!$U$23:$U$72,0)),"")</f>
        <v>Charles Allen</v>
      </c>
      <c r="C59" s="24" t="str">
        <f>IFERROR(INDEX('Customer Analysis'!$B$23:$B$72,MATCH($A59,'Customer Analysis'!$V$23:$V$72,0)),"")</f>
        <v>Richard Lee</v>
      </c>
      <c r="D59" s="24" t="str">
        <f t="shared" si="1"/>
        <v>Charles Allen</v>
      </c>
      <c r="E59" s="24" t="str">
        <f t="shared" si="2"/>
        <v/>
      </c>
      <c r="F59" s="24" t="str">
        <f t="shared" si="3"/>
        <v/>
      </c>
    </row>
    <row r="60" spans="1:10" x14ac:dyDescent="0.25">
      <c r="A60" s="23">
        <v>16</v>
      </c>
      <c r="B60" s="24" t="str">
        <f>IFERROR(INDEX('Customer Analysis'!$B$23:$B$72,MATCH($A60,'Customer Analysis'!$U$23:$U$72,0)),"")</f>
        <v>Barbara Young</v>
      </c>
      <c r="C60" s="24" t="str">
        <f>IFERROR(INDEX('Customer Analysis'!$B$23:$B$72,MATCH($A60,'Customer Analysis'!$V$23:$V$72,0)),"")</f>
        <v>Elizabeth Hall</v>
      </c>
      <c r="D60" s="24" t="str">
        <f t="shared" si="1"/>
        <v>Barbara Young</v>
      </c>
      <c r="E60" s="24" t="str">
        <f t="shared" si="2"/>
        <v/>
      </c>
      <c r="F60" s="24" t="str">
        <f t="shared" si="3"/>
        <v/>
      </c>
    </row>
    <row r="61" spans="1:10" x14ac:dyDescent="0.25">
      <c r="A61" s="23">
        <v>17</v>
      </c>
      <c r="B61" s="24" t="str">
        <f>IFERROR(INDEX('Customer Analysis'!$B$23:$B$72,MATCH($A61,'Customer Analysis'!$U$23:$U$72,0)),"")</f>
        <v>Daniel King</v>
      </c>
      <c r="C61" s="24" t="str">
        <f>IFERROR(INDEX('Customer Analysis'!$B$23:$B$72,MATCH($A61,'Customer Analysis'!$V$23:$V$72,0)),"")</f>
        <v>Charles Allen</v>
      </c>
      <c r="D61" s="24" t="str">
        <f t="shared" si="1"/>
        <v>Daniel King</v>
      </c>
      <c r="E61" s="24" t="str">
        <f t="shared" si="2"/>
        <v/>
      </c>
      <c r="F61" s="24" t="str">
        <f t="shared" si="3"/>
        <v/>
      </c>
    </row>
    <row r="62" spans="1:10" x14ac:dyDescent="0.25">
      <c r="A62" s="23">
        <v>18</v>
      </c>
      <c r="B62" s="24" t="str">
        <f>IFERROR(INDEX('Customer Analysis'!$B$23:$B$72,MATCH($A62,'Customer Analysis'!$U$23:$U$72,0)),"")</f>
        <v>Margaret Wright</v>
      </c>
      <c r="C62" s="24" t="str">
        <f>IFERROR(INDEX('Customer Analysis'!$B$23:$B$72,MATCH($A62,'Customer Analysis'!$V$23:$V$72,0)),"")</f>
        <v>Barbara Young</v>
      </c>
      <c r="D62" s="24" t="str">
        <f t="shared" si="1"/>
        <v>Margaret Wright</v>
      </c>
      <c r="E62" s="24" t="str">
        <f t="shared" si="2"/>
        <v/>
      </c>
      <c r="F62" s="24" t="str">
        <f t="shared" si="3"/>
        <v/>
      </c>
    </row>
    <row r="63" spans="1:10" x14ac:dyDescent="0.25">
      <c r="A63" s="23">
        <v>19</v>
      </c>
      <c r="B63" s="24" t="str">
        <f>IFERROR(INDEX('Customer Analysis'!$B$23:$B$72,MATCH($A63,'Customer Analysis'!$U$23:$U$72,0)),"")</f>
        <v>Kevin Scott</v>
      </c>
      <c r="C63" s="24" t="str">
        <f>IFERROR(INDEX('Customer Analysis'!$B$23:$B$72,MATCH($A63,'Customer Analysis'!$V$23:$V$72,0)),"")</f>
        <v>Daniel King</v>
      </c>
      <c r="D63" s="24" t="str">
        <f t="shared" si="1"/>
        <v>Kevin Scott</v>
      </c>
      <c r="E63" s="24" t="str">
        <f t="shared" si="2"/>
        <v/>
      </c>
      <c r="F63" s="24" t="str">
        <f t="shared" si="3"/>
        <v/>
      </c>
    </row>
    <row r="64" spans="1:10" x14ac:dyDescent="0.25">
      <c r="A64" s="23">
        <v>20</v>
      </c>
      <c r="B64" s="24" t="str">
        <f>IFERROR(INDEX('Customer Analysis'!$B$23:$B$72,MATCH($A64,'Customer Analysis'!$U$23:$U$72,0)),"")</f>
        <v>Susan Green</v>
      </c>
      <c r="C64" s="24" t="str">
        <f>IFERROR(INDEX('Customer Analysis'!$B$23:$B$72,MATCH($A64,'Customer Analysis'!$V$23:$V$72,0)),"")</f>
        <v>Margaret Wright</v>
      </c>
      <c r="D64" s="24" t="str">
        <f t="shared" si="1"/>
        <v>Susan Green</v>
      </c>
      <c r="E64" s="24" t="str">
        <f t="shared" si="2"/>
        <v/>
      </c>
      <c r="F64" s="24" t="str">
        <f t="shared" si="3"/>
        <v/>
      </c>
    </row>
    <row r="65" spans="1:6" x14ac:dyDescent="0.25">
      <c r="A65" s="23">
        <v>21</v>
      </c>
      <c r="B65" s="24" t="str">
        <f>IFERROR(INDEX('Customer Analysis'!$B$23:$B$72,MATCH($A65,'Customer Analysis'!$U$23:$U$72,0)),"")</f>
        <v>Paul Baker</v>
      </c>
      <c r="C65" s="24" t="str">
        <f>IFERROR(INDEX('Customer Analysis'!$B$23:$B$72,MATCH($A65,'Customer Analysis'!$V$23:$V$72,0)),"")</f>
        <v>Kevin Scott</v>
      </c>
      <c r="D65" s="24" t="str">
        <f t="shared" si="1"/>
        <v>Paul Baker</v>
      </c>
      <c r="E65" s="24" t="str">
        <f t="shared" si="2"/>
        <v/>
      </c>
      <c r="F65" s="24" t="str">
        <f t="shared" si="3"/>
        <v/>
      </c>
    </row>
    <row r="66" spans="1:6" x14ac:dyDescent="0.25">
      <c r="A66" s="23">
        <v>22</v>
      </c>
      <c r="B66" s="24" t="str">
        <f>IFERROR(INDEX('Customer Analysis'!$B$23:$B$72,MATCH($A66,'Customer Analysis'!$U$23:$U$72,0)),"")</f>
        <v>Dorothy Nelson</v>
      </c>
      <c r="C66" s="24" t="str">
        <f>IFERROR(INDEX('Customer Analysis'!$B$23:$B$72,MATCH($A66,'Customer Analysis'!$V$23:$V$72,0)),"")</f>
        <v>Susan Green</v>
      </c>
      <c r="D66" s="24" t="str">
        <f t="shared" si="1"/>
        <v>Dorothy Nelson</v>
      </c>
      <c r="E66" s="24" t="str">
        <f t="shared" si="2"/>
        <v/>
      </c>
      <c r="F66" s="24" t="str">
        <f t="shared" si="3"/>
        <v/>
      </c>
    </row>
    <row r="67" spans="1:6" x14ac:dyDescent="0.25">
      <c r="A67" s="23">
        <v>23</v>
      </c>
      <c r="B67" s="24" t="str">
        <f>IFERROR(INDEX('Customer Analysis'!$B$23:$B$72,MATCH($A67,'Customer Analysis'!$U$23:$U$72,0)),"")</f>
        <v>Mark Carter</v>
      </c>
      <c r="C67" s="24" t="str">
        <f>IFERROR(INDEX('Customer Analysis'!$B$23:$B$72,MATCH($A67,'Customer Analysis'!$V$23:$V$72,0)),"")</f>
        <v>Paul Baker</v>
      </c>
      <c r="D67" s="24" t="str">
        <f t="shared" si="1"/>
        <v>Mark Carter</v>
      </c>
      <c r="E67" s="24" t="str">
        <f t="shared" si="2"/>
        <v/>
      </c>
      <c r="F67" s="24" t="str">
        <f t="shared" si="3"/>
        <v/>
      </c>
    </row>
    <row r="68" spans="1:6" x14ac:dyDescent="0.25">
      <c r="A68" s="23">
        <v>24</v>
      </c>
      <c r="B68" s="24" t="str">
        <f>IFERROR(INDEX('Customer Analysis'!$B$23:$B$72,MATCH($A68,'Customer Analysis'!$U$23:$U$72,0)),"")</f>
        <v>Karen Hill</v>
      </c>
      <c r="C68" s="24" t="str">
        <f>IFERROR(INDEX('Customer Analysis'!$B$23:$B$72,MATCH($A68,'Customer Analysis'!$V$23:$V$72,0)),"")</f>
        <v>Dorothy Nelson</v>
      </c>
      <c r="D68" s="24" t="str">
        <f t="shared" si="1"/>
        <v>Karen Hill</v>
      </c>
      <c r="E68" s="24" t="str">
        <f t="shared" si="2"/>
        <v/>
      </c>
      <c r="F68" s="24" t="str">
        <f t="shared" si="3"/>
        <v/>
      </c>
    </row>
    <row r="69" spans="1:6" x14ac:dyDescent="0.25">
      <c r="A69" s="23">
        <v>25</v>
      </c>
      <c r="B69" s="24" t="str">
        <f>IFERROR(INDEX('Customer Analysis'!$B$23:$B$72,MATCH($A69,'Customer Analysis'!$U$23:$U$72,0)),"")</f>
        <v>George Adams</v>
      </c>
      <c r="C69" s="24" t="str">
        <f>IFERROR(INDEX('Customer Analysis'!$B$23:$B$72,MATCH($A69,'Customer Analysis'!$V$23:$V$72,0)),"")</f>
        <v>Mark Carter</v>
      </c>
      <c r="D69" s="24" t="str">
        <f t="shared" si="1"/>
        <v>George Adams</v>
      </c>
      <c r="E69" s="24" t="str">
        <f t="shared" si="2"/>
        <v/>
      </c>
      <c r="F69" s="24" t="str">
        <f t="shared" si="3"/>
        <v/>
      </c>
    </row>
    <row r="70" spans="1:6" x14ac:dyDescent="0.25">
      <c r="A70" s="23">
        <v>26</v>
      </c>
      <c r="B70" s="24" t="str">
        <f>IFERROR(INDEX('Customer Analysis'!$B$23:$B$72,MATCH($A70,'Customer Analysis'!$U$23:$U$72,0)),"")</f>
        <v>Betty Campbell</v>
      </c>
      <c r="C70" s="24" t="str">
        <f>IFERROR(INDEX('Customer Analysis'!$B$23:$B$72,MATCH($A70,'Customer Analysis'!$V$23:$V$72,0)),"")</f>
        <v>Karen Hill</v>
      </c>
      <c r="D70" s="24" t="str">
        <f t="shared" si="1"/>
        <v>Betty Campbell</v>
      </c>
      <c r="E70" s="24" t="str">
        <f t="shared" si="2"/>
        <v/>
      </c>
      <c r="F70" s="24" t="str">
        <f t="shared" si="3"/>
        <v/>
      </c>
    </row>
    <row r="71" spans="1:6" x14ac:dyDescent="0.25">
      <c r="A71" s="23">
        <v>27</v>
      </c>
      <c r="B71" s="24" t="str">
        <f>IFERROR(INDEX('Customer Analysis'!$B$23:$B$72,MATCH($A71,'Customer Analysis'!$U$23:$U$72,0)),"")</f>
        <v>Edward Mitchell</v>
      </c>
      <c r="C71" s="24" t="str">
        <f>IFERROR(INDEX('Customer Analysis'!$B$23:$B$72,MATCH($A71,'Customer Analysis'!$V$23:$V$72,0)),"")</f>
        <v>George Adams</v>
      </c>
      <c r="D71" s="24" t="str">
        <f t="shared" si="1"/>
        <v>Edward Mitchell</v>
      </c>
      <c r="E71" s="24" t="str">
        <f t="shared" si="2"/>
        <v/>
      </c>
      <c r="F71" s="24" t="str">
        <f t="shared" si="3"/>
        <v/>
      </c>
    </row>
    <row r="72" spans="1:6" x14ac:dyDescent="0.25">
      <c r="A72" s="23">
        <v>28</v>
      </c>
      <c r="B72" s="24" t="str">
        <f>IFERROR(INDEX('Customer Analysis'!$B$23:$B$72,MATCH($A72,'Customer Analysis'!$U$23:$U$72,0)),"")</f>
        <v>Helen Roberts</v>
      </c>
      <c r="C72" s="24" t="str">
        <f>IFERROR(INDEX('Customer Analysis'!$B$23:$B$72,MATCH($A72,'Customer Analysis'!$V$23:$V$72,0)),"")</f>
        <v>Betty Campbell</v>
      </c>
      <c r="D72" s="24" t="str">
        <f t="shared" si="1"/>
        <v>Helen Roberts</v>
      </c>
      <c r="E72" s="24" t="str">
        <f t="shared" si="2"/>
        <v/>
      </c>
      <c r="F72" s="24" t="str">
        <f t="shared" si="3"/>
        <v/>
      </c>
    </row>
    <row r="73" spans="1:6" x14ac:dyDescent="0.25">
      <c r="A73" s="23">
        <v>29</v>
      </c>
      <c r="B73" s="24" t="str">
        <f>IFERROR(INDEX('Customer Analysis'!$B$23:$B$72,MATCH($A73,'Customer Analysis'!$U$23:$U$72,0)),"")</f>
        <v>Steven Turner</v>
      </c>
      <c r="C73" s="24" t="str">
        <f>IFERROR(INDEX('Customer Analysis'!$B$23:$B$72,MATCH($A73,'Customer Analysis'!$V$23:$V$72,0)),"")</f>
        <v>Edward Mitchell</v>
      </c>
      <c r="D73" s="24" t="str">
        <f t="shared" si="1"/>
        <v>Steven Turner</v>
      </c>
      <c r="E73" s="24" t="str">
        <f t="shared" si="2"/>
        <v/>
      </c>
      <c r="F73" s="24" t="str">
        <f t="shared" si="3"/>
        <v/>
      </c>
    </row>
    <row r="74" spans="1:6" x14ac:dyDescent="0.25">
      <c r="A74" s="23">
        <v>30</v>
      </c>
      <c r="B74" s="24" t="str">
        <f>IFERROR(INDEX('Customer Analysis'!$B$23:$B$72,MATCH($A74,'Customer Analysis'!$U$23:$U$72,0)),"")</f>
        <v>Sandra Phillips</v>
      </c>
      <c r="C74" s="24" t="str">
        <f>IFERROR(INDEX('Customer Analysis'!$B$23:$B$72,MATCH($A74,'Customer Analysis'!$V$23:$V$72,0)),"")</f>
        <v>Helen Roberts</v>
      </c>
      <c r="D74" s="24" t="str">
        <f t="shared" si="1"/>
        <v>Sandra Phillips</v>
      </c>
      <c r="E74" s="24" t="str">
        <f t="shared" si="2"/>
        <v/>
      </c>
      <c r="F74" s="24" t="str">
        <f t="shared" si="3"/>
        <v/>
      </c>
    </row>
    <row r="75" spans="1:6" x14ac:dyDescent="0.25">
      <c r="A75" s="23">
        <v>31</v>
      </c>
      <c r="B75" s="24" t="str">
        <f>IFERROR(INDEX('Customer Analysis'!$B$23:$B$72,MATCH($A75,'Customer Analysis'!$U$23:$U$72,0)),"")</f>
        <v>Frank Torres</v>
      </c>
      <c r="C75" s="24" t="str">
        <f>IFERROR(INDEX('Customer Analysis'!$B$23:$B$72,MATCH($A75,'Customer Analysis'!$V$23:$V$72,0)),"")</f>
        <v>Steven Turner</v>
      </c>
      <c r="D75" s="24" t="str">
        <f t="shared" si="1"/>
        <v>Frank Torres</v>
      </c>
      <c r="E75" s="24" t="str">
        <f t="shared" si="2"/>
        <v/>
      </c>
      <c r="F75" s="24" t="str">
        <f t="shared" si="3"/>
        <v/>
      </c>
    </row>
    <row r="76" spans="1:6" x14ac:dyDescent="0.25">
      <c r="A76" s="23">
        <v>32</v>
      </c>
      <c r="B76" s="24" t="str">
        <f>IFERROR(INDEX('Customer Analysis'!$B$23:$B$72,MATCH($A76,'Customer Analysis'!$U$23:$U$72,0)),"")</f>
        <v>Carol Evans</v>
      </c>
      <c r="C76" s="24" t="str">
        <f>IFERROR(INDEX('Customer Analysis'!$B$23:$B$72,MATCH($A76,'Customer Analysis'!$V$23:$V$72,0)),"")</f>
        <v>Sandra Phillips</v>
      </c>
      <c r="D76" s="24" t="str">
        <f t="shared" si="1"/>
        <v/>
      </c>
      <c r="E76" s="24" t="str">
        <f t="shared" si="2"/>
        <v>Carol Evans</v>
      </c>
      <c r="F76" s="24" t="str">
        <f t="shared" si="3"/>
        <v/>
      </c>
    </row>
    <row r="77" spans="1:6" x14ac:dyDescent="0.25">
      <c r="A77" s="23">
        <v>33</v>
      </c>
      <c r="B77" s="24" t="str">
        <f>IFERROR(INDEX('Customer Analysis'!$B$23:$B$72,MATCH($A77,'Customer Analysis'!$U$23:$U$72,0)),"")</f>
        <v>Harry Morgan</v>
      </c>
      <c r="C77" s="24" t="str">
        <f>IFERROR(INDEX('Customer Analysis'!$B$23:$B$72,MATCH($A77,'Customer Analysis'!$V$23:$V$72,0)),"")</f>
        <v>Frank Torres</v>
      </c>
      <c r="D77" s="24" t="str">
        <f t="shared" ref="D77:D94" si="4">IF(B77="","",IF(COUNTIF($C$45:$C$94,B77)&gt;0,B77,""))</f>
        <v>Harry Morgan</v>
      </c>
      <c r="E77" s="24" t="str">
        <f t="shared" ref="E77:E94" si="5">IF(B77="","",IF(COUNTIF($C$45:$C$94,B77)=0,B77,""))</f>
        <v/>
      </c>
      <c r="F77" s="24" t="str">
        <f t="shared" ref="F77:F94" si="6">IF(C77="","",IF(COUNTIF($B$45:$B$94,C77)=0,C77,""))</f>
        <v/>
      </c>
    </row>
    <row r="78" spans="1:6" x14ac:dyDescent="0.25">
      <c r="A78" s="23">
        <v>34</v>
      </c>
      <c r="B78" s="24" t="str">
        <f>IFERROR(INDEX('Customer Analysis'!$B$23:$B$72,MATCH($A78,'Customer Analysis'!$U$23:$U$72,0)),"")</f>
        <v>Nancy Collins</v>
      </c>
      <c r="C78" s="24" t="str">
        <f>IFERROR(INDEX('Customer Analysis'!$B$23:$B$72,MATCH($A78,'Customer Analysis'!$V$23:$V$72,0)),"")</f>
        <v>Harry Morgan</v>
      </c>
      <c r="D78" s="24" t="str">
        <f t="shared" si="4"/>
        <v>Nancy Collins</v>
      </c>
      <c r="E78" s="24" t="str">
        <f t="shared" si="5"/>
        <v/>
      </c>
      <c r="F78" s="24" t="str">
        <f t="shared" si="6"/>
        <v/>
      </c>
    </row>
    <row r="79" spans="1:6" x14ac:dyDescent="0.25">
      <c r="A79" s="23">
        <v>35</v>
      </c>
      <c r="B79" s="24" t="str">
        <f>IFERROR(INDEX('Customer Analysis'!$B$23:$B$72,MATCH($A79,'Customer Analysis'!$U$23:$U$72,0)),"")</f>
        <v>Michelle Rogers</v>
      </c>
      <c r="C79" s="24" t="str">
        <f>IFERROR(INDEX('Customer Analysis'!$B$23:$B$72,MATCH($A79,'Customer Analysis'!$V$23:$V$72,0)),"")</f>
        <v>Nancy Collins</v>
      </c>
      <c r="D79" s="24" t="str">
        <f t="shared" si="4"/>
        <v>Michelle Rogers</v>
      </c>
      <c r="E79" s="24" t="str">
        <f t="shared" si="5"/>
        <v/>
      </c>
      <c r="F79" s="24" t="str">
        <f t="shared" si="6"/>
        <v/>
      </c>
    </row>
    <row r="80" spans="1:6" x14ac:dyDescent="0.25">
      <c r="A80" s="23">
        <v>36</v>
      </c>
      <c r="B80" s="24" t="str">
        <f>IFERROR(INDEX('Customer Analysis'!$B$23:$B$72,MATCH($A80,'Customer Analysis'!$U$23:$U$72,0)),"")</f>
        <v>Lawrence Reed</v>
      </c>
      <c r="C80" s="24" t="str">
        <f>IFERROR(INDEX('Customer Analysis'!$B$23:$B$72,MATCH($A80,'Customer Analysis'!$V$23:$V$72,0)),"")</f>
        <v>Arthur Edwards</v>
      </c>
      <c r="D80" s="24" t="str">
        <f t="shared" si="4"/>
        <v>Lawrence Reed</v>
      </c>
      <c r="E80" s="24" t="str">
        <f t="shared" si="5"/>
        <v/>
      </c>
      <c r="F80" s="24" t="str">
        <f t="shared" si="6"/>
        <v>Arthur Edwards</v>
      </c>
    </row>
    <row r="81" spans="1:6" x14ac:dyDescent="0.25">
      <c r="A81" s="23">
        <v>37</v>
      </c>
      <c r="B81" s="24" t="str">
        <f>IFERROR(INDEX('Customer Analysis'!$B$23:$B$72,MATCH($A81,'Customer Analysis'!$U$23:$U$72,0)),"")</f>
        <v>Sharon Butler</v>
      </c>
      <c r="C81" s="24" t="str">
        <f>IFERROR(INDEX('Customer Analysis'!$B$23:$B$72,MATCH($A81,'Customer Analysis'!$V$23:$V$72,0)),"")</f>
        <v>Michelle Rogers</v>
      </c>
      <c r="D81" s="24" t="str">
        <f t="shared" si="4"/>
        <v>Sharon Butler</v>
      </c>
      <c r="E81" s="24" t="str">
        <f t="shared" si="5"/>
        <v/>
      </c>
      <c r="F81" s="24" t="str">
        <f t="shared" si="6"/>
        <v/>
      </c>
    </row>
    <row r="82" spans="1:6" x14ac:dyDescent="0.25">
      <c r="A82" s="23">
        <v>38</v>
      </c>
      <c r="B82" s="24" t="str">
        <f>IFERROR(INDEX('Customer Analysis'!$B$23:$B$72,MATCH($A82,'Customer Analysis'!$U$23:$U$72,0)),"")</f>
        <v>Peter Richardson</v>
      </c>
      <c r="C82" s="24" t="str">
        <f>IFERROR(INDEX('Customer Analysis'!$B$23:$B$72,MATCH($A82,'Customer Analysis'!$V$23:$V$72,0)),"")</f>
        <v>Lawrence Reed</v>
      </c>
      <c r="D82" s="24" t="str">
        <f t="shared" si="4"/>
        <v>Peter Richardson</v>
      </c>
      <c r="E82" s="24" t="str">
        <f t="shared" si="5"/>
        <v/>
      </c>
      <c r="F82" s="24" t="str">
        <f t="shared" si="6"/>
        <v/>
      </c>
    </row>
    <row r="83" spans="1:6" x14ac:dyDescent="0.25">
      <c r="A83" s="23">
        <v>39</v>
      </c>
      <c r="B83" s="24" t="str">
        <f>IFERROR(INDEX('Customer Analysis'!$B$23:$B$72,MATCH($A83,'Customer Analysis'!$U$23:$U$72,0)),"")</f>
        <v>Ruth Brooks</v>
      </c>
      <c r="C83" s="24" t="str">
        <f>IFERROR(INDEX('Customer Analysis'!$B$23:$B$72,MATCH($A83,'Customer Analysis'!$V$23:$V$72,0)),"")</f>
        <v>Sharon Butler</v>
      </c>
      <c r="D83" s="24" t="str">
        <f t="shared" si="4"/>
        <v>Ruth Brooks</v>
      </c>
      <c r="E83" s="24" t="str">
        <f t="shared" si="5"/>
        <v/>
      </c>
      <c r="F83" s="24" t="str">
        <f t="shared" si="6"/>
        <v/>
      </c>
    </row>
    <row r="84" spans="1:6" x14ac:dyDescent="0.25">
      <c r="A84" s="23">
        <v>40</v>
      </c>
      <c r="B84" s="24" t="str">
        <f>IFERROR(INDEX('Customer Analysis'!$B$23:$B$72,MATCH($A84,'Customer Analysis'!$U$23:$U$72,0)),"")</f>
        <v>Dennis Gray</v>
      </c>
      <c r="C84" s="24" t="str">
        <f>IFERROR(INDEX('Customer Analysis'!$B$23:$B$72,MATCH($A84,'Customer Analysis'!$V$23:$V$72,0)),"")</f>
        <v>Peter Richardson</v>
      </c>
      <c r="D84" s="24" t="str">
        <f t="shared" si="4"/>
        <v>Dennis Gray</v>
      </c>
      <c r="E84" s="24" t="str">
        <f t="shared" si="5"/>
        <v/>
      </c>
      <c r="F84" s="24" t="str">
        <f t="shared" si="6"/>
        <v/>
      </c>
    </row>
    <row r="85" spans="1:6" x14ac:dyDescent="0.25">
      <c r="A85" s="23">
        <v>41</v>
      </c>
      <c r="B85" s="24" t="str">
        <f>IFERROR(INDEX('Customer Analysis'!$B$23:$B$72,MATCH($A85,'Customer Analysis'!$U$23:$U$72,0)),"")</f>
        <v>Cynthia Price</v>
      </c>
      <c r="C85" s="24" t="str">
        <f>IFERROR(INDEX('Customer Analysis'!$B$23:$B$72,MATCH($A85,'Customer Analysis'!$V$23:$V$72,0)),"")</f>
        <v>Ruth Brooks</v>
      </c>
      <c r="D85" s="24" t="str">
        <f t="shared" si="4"/>
        <v>Cynthia Price</v>
      </c>
      <c r="E85" s="24" t="str">
        <f t="shared" si="5"/>
        <v/>
      </c>
      <c r="F85" s="24" t="str">
        <f t="shared" si="6"/>
        <v/>
      </c>
    </row>
    <row r="86" spans="1:6" x14ac:dyDescent="0.25">
      <c r="A86" s="23">
        <v>42</v>
      </c>
      <c r="B86" s="24" t="str">
        <f>IFERROR(INDEX('Customer Analysis'!$B$23:$B$72,MATCH($A86,'Customer Analysis'!$U$23:$U$72,0)),"")</f>
        <v>Kathleen Bennett</v>
      </c>
      <c r="C86" s="24" t="str">
        <f>IFERROR(INDEX('Customer Analysis'!$B$23:$B$72,MATCH($A86,'Customer Analysis'!$V$23:$V$72,0)),"")</f>
        <v>Dennis Gray</v>
      </c>
      <c r="D86" s="24" t="str">
        <f t="shared" si="4"/>
        <v>Kathleen Bennett</v>
      </c>
      <c r="E86" s="24" t="str">
        <f t="shared" si="5"/>
        <v/>
      </c>
      <c r="F86" s="24" t="str">
        <f t="shared" si="6"/>
        <v/>
      </c>
    </row>
    <row r="87" spans="1:6" x14ac:dyDescent="0.25">
      <c r="A87" s="23">
        <v>43</v>
      </c>
      <c r="B87" s="24" t="str">
        <f>IFERROR(INDEX('Customer Analysis'!$B$23:$B$72,MATCH($A87,'Customer Analysis'!$U$23:$U$72,0)),"")</f>
        <v>Gerald Murphy</v>
      </c>
      <c r="C87" s="24" t="str">
        <f>IFERROR(INDEX('Customer Analysis'!$B$23:$B$72,MATCH($A87,'Customer Analysis'!$V$23:$V$72,0)),"")</f>
        <v>Cynthia Price</v>
      </c>
      <c r="D87" s="24" t="str">
        <f t="shared" si="4"/>
        <v/>
      </c>
      <c r="E87" s="24" t="str">
        <f t="shared" si="5"/>
        <v>Gerald Murphy</v>
      </c>
      <c r="F87" s="24" t="str">
        <f t="shared" si="6"/>
        <v/>
      </c>
    </row>
    <row r="88" spans="1:6" x14ac:dyDescent="0.25">
      <c r="A88" s="23">
        <v>44</v>
      </c>
      <c r="B88" s="24" t="str">
        <f>IFERROR(INDEX('Customer Analysis'!$B$23:$B$72,MATCH($A88,'Customer Analysis'!$U$23:$U$72,0)),"")</f>
        <v>Virginia Sanders</v>
      </c>
      <c r="C88" s="24" t="str">
        <f>IFERROR(INDEX('Customer Analysis'!$B$23:$B$72,MATCH($A88,'Customer Analysis'!$V$23:$V$72,0)),"")</f>
        <v>Douglas Watson</v>
      </c>
      <c r="D88" s="24" t="str">
        <f t="shared" si="4"/>
        <v>Virginia Sanders</v>
      </c>
      <c r="E88" s="24" t="str">
        <f t="shared" si="5"/>
        <v/>
      </c>
      <c r="F88" s="24" t="str">
        <f t="shared" si="6"/>
        <v>Douglas Watson</v>
      </c>
    </row>
    <row r="89" spans="1:6" x14ac:dyDescent="0.25">
      <c r="A89" s="23">
        <v>45</v>
      </c>
      <c r="B89" s="24" t="str">
        <f>IFERROR(INDEX('Customer Analysis'!$B$23:$B$72,MATCH($A89,'Customer Analysis'!$U$23:$U$72,0)),"")</f>
        <v>Raymond Ross</v>
      </c>
      <c r="C89" s="24" t="str">
        <f>IFERROR(INDEX('Customer Analysis'!$B$23:$B$72,MATCH($A89,'Customer Analysis'!$V$23:$V$72,0)),"")</f>
        <v>Kathleen Bennett</v>
      </c>
      <c r="D89" s="24" t="str">
        <f t="shared" si="4"/>
        <v>Raymond Ross</v>
      </c>
      <c r="E89" s="24" t="str">
        <f t="shared" si="5"/>
        <v/>
      </c>
      <c r="F89" s="24" t="str">
        <f t="shared" si="6"/>
        <v/>
      </c>
    </row>
    <row r="90" spans="1:6" x14ac:dyDescent="0.25">
      <c r="A90" s="23">
        <v>46</v>
      </c>
      <c r="B90" s="24" t="str">
        <f>IFERROR(INDEX('Customer Analysis'!$B$23:$B$72,MATCH($A90,'Customer Analysis'!$U$23:$U$72,0)),"")</f>
        <v>Julie Foster</v>
      </c>
      <c r="C90" s="24" t="str">
        <f>IFERROR(INDEX('Customer Analysis'!$B$23:$B$72,MATCH($A90,'Customer Analysis'!$V$23:$V$72,0)),"")</f>
        <v>Virginia Sanders</v>
      </c>
      <c r="D90" s="24" t="str">
        <f t="shared" si="4"/>
        <v/>
      </c>
      <c r="E90" s="24" t="str">
        <f t="shared" si="5"/>
        <v>Julie Foster</v>
      </c>
      <c r="F90" s="24" t="str">
        <f t="shared" si="6"/>
        <v/>
      </c>
    </row>
    <row r="91" spans="1:6" x14ac:dyDescent="0.25">
      <c r="A91" s="23">
        <v>47</v>
      </c>
      <c r="B91" s="24" t="str">
        <f>IFERROR(INDEX('Customer Analysis'!$B$23:$B$72,MATCH($A91,'Customer Analysis'!$U$23:$U$72,0)),"")</f>
        <v/>
      </c>
      <c r="C91" s="24" t="str">
        <f>IFERROR(INDEX('Customer Analysis'!$B$23:$B$72,MATCH($A91,'Customer Analysis'!$V$23:$V$72,0)),"")</f>
        <v>Raymond Ross</v>
      </c>
      <c r="D91" s="24" t="str">
        <f t="shared" si="4"/>
        <v/>
      </c>
      <c r="E91" s="24" t="str">
        <f t="shared" si="5"/>
        <v/>
      </c>
      <c r="F91" s="24" t="str">
        <f t="shared" si="6"/>
        <v/>
      </c>
    </row>
    <row r="92" spans="1:6" x14ac:dyDescent="0.25">
      <c r="A92" s="23">
        <v>48</v>
      </c>
      <c r="B92" s="24" t="str">
        <f>IFERROR(INDEX('Customer Analysis'!$B$23:$B$72,MATCH($A92,'Customer Analysis'!$U$23:$U$72,0)),"")</f>
        <v/>
      </c>
      <c r="C92" s="24" t="str">
        <f>IFERROR(INDEX('Customer Analysis'!$B$23:$B$72,MATCH($A92,'Customer Analysis'!$V$23:$V$72,0)),"")</f>
        <v/>
      </c>
      <c r="D92" s="24" t="str">
        <f t="shared" si="4"/>
        <v/>
      </c>
      <c r="E92" s="24" t="str">
        <f t="shared" si="5"/>
        <v/>
      </c>
      <c r="F92" s="24" t="str">
        <f t="shared" si="6"/>
        <v/>
      </c>
    </row>
    <row r="93" spans="1:6" x14ac:dyDescent="0.25">
      <c r="A93" s="23">
        <v>49</v>
      </c>
      <c r="B93" s="24" t="str">
        <f>IFERROR(INDEX('Customer Analysis'!$B$23:$B$72,MATCH($A93,'Customer Analysis'!$U$23:$U$72,0)),"")</f>
        <v/>
      </c>
      <c r="C93" s="24" t="str">
        <f>IFERROR(INDEX('Customer Analysis'!$B$23:$B$72,MATCH($A93,'Customer Analysis'!$V$23:$V$72,0)),"")</f>
        <v/>
      </c>
      <c r="D93" s="24" t="str">
        <f t="shared" si="4"/>
        <v/>
      </c>
      <c r="E93" s="24" t="str">
        <f t="shared" si="5"/>
        <v/>
      </c>
      <c r="F93" s="24" t="str">
        <f t="shared" si="6"/>
        <v/>
      </c>
    </row>
    <row r="94" spans="1:6" x14ac:dyDescent="0.25">
      <c r="A94" s="23">
        <v>50</v>
      </c>
      <c r="B94" s="24" t="str">
        <f>IFERROR(INDEX('Customer Analysis'!$B$23:$B$72,MATCH($A94,'Customer Analysis'!$U$23:$U$72,0)),"")</f>
        <v/>
      </c>
      <c r="C94" s="24" t="str">
        <f>IFERROR(INDEX('Customer Analysis'!$B$23:$B$72,MATCH($A94,'Customer Analysis'!$V$23:$V$72,0)),"")</f>
        <v/>
      </c>
      <c r="D94" s="24" t="str">
        <f t="shared" si="4"/>
        <v/>
      </c>
      <c r="E94" s="24" t="str">
        <f t="shared" si="5"/>
        <v/>
      </c>
      <c r="F94" s="24" t="str">
        <f t="shared" si="6"/>
        <v/>
      </c>
    </row>
  </sheetData>
  <conditionalFormatting sqref="B6:B15">
    <cfRule type="dataBar" priority="2">
      <dataBar>
        <cfvo type="num" val="0"/>
        <cfvo type="max"/>
        <color rgb="FF70AD47"/>
      </dataBar>
      <extLst>
        <ext xmlns:x14="http://schemas.microsoft.com/office/spreadsheetml/2009/9/main" uri="{B025F937-C7B1-47D3-B67F-A62EFF666E3E}">
          <x14:id>{66A4C7D6-C52A-4180-9913-608749AC1A21}</x14:id>
        </ext>
      </extLst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A4C7D6-C52A-4180-9913-608749AC1A21}">
            <x14:dataBar axisPosition="none">
              <x14:cfvo type="num">
                <xm:f>0</xm:f>
              </x14:cfvo>
              <x14:cfvo type="max"/>
              <x14:negativeFillColor rgb="FF70AD47"/>
            </x14:dataBar>
          </x14:cfRule>
          <xm:sqref>B6:B15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  <pageSetUpPr fitToPage="1"/>
  </sheetPr>
  <dimension ref="A1:F48"/>
  <sheetViews>
    <sheetView showGridLines="0" zoomScaleNormal="100" workbookViewId="0">
      <selection activeCell="A39" sqref="A39"/>
    </sheetView>
  </sheetViews>
  <sheetFormatPr defaultColWidth="8.6640625" defaultRowHeight="13.2" x14ac:dyDescent="0.25"/>
  <cols>
    <col min="1" max="1" width="34" customWidth="1"/>
    <col min="2" max="3" width="24" customWidth="1"/>
    <col min="4" max="5" width="10" customWidth="1"/>
    <col min="6" max="6" width="28" customWidth="1"/>
  </cols>
  <sheetData>
    <row r="1" spans="1:3" ht="21" customHeight="1" x14ac:dyDescent="0.4">
      <c r="A1" s="29" t="s">
        <v>234</v>
      </c>
    </row>
    <row r="2" spans="1:3" x14ac:dyDescent="0.25">
      <c r="A2" s="30"/>
    </row>
    <row r="3" spans="1:3" ht="15" customHeight="1" x14ac:dyDescent="0.3">
      <c r="A3" s="21" t="s">
        <v>235</v>
      </c>
    </row>
    <row r="4" spans="1:3" ht="30" customHeight="1" x14ac:dyDescent="0.25">
      <c r="A4" s="22" t="s">
        <v>236</v>
      </c>
      <c r="B4" s="22" t="s">
        <v>237</v>
      </c>
      <c r="C4" s="22" t="s">
        <v>238</v>
      </c>
    </row>
    <row r="5" spans="1:3" x14ac:dyDescent="0.25">
      <c r="A5" s="32" t="s">
        <v>239</v>
      </c>
      <c r="B5" s="56">
        <f ca="1">TODAY()</f>
        <v>46310</v>
      </c>
      <c r="C5" s="57" t="s">
        <v>240</v>
      </c>
    </row>
    <row r="6" spans="1:3" x14ac:dyDescent="0.25">
      <c r="A6" s="32" t="s">
        <v>241</v>
      </c>
      <c r="B6" s="58">
        <f ca="1">NOW()</f>
        <v>46310.465622800926</v>
      </c>
      <c r="C6" s="57" t="s">
        <v>242</v>
      </c>
    </row>
    <row r="7" spans="1:3" x14ac:dyDescent="0.25">
      <c r="A7" s="32" t="s">
        <v>243</v>
      </c>
      <c r="B7" s="59" t="str">
        <f ca="1">TEXT(B5,"dddd")</f>
        <v>Thursday</v>
      </c>
      <c r="C7" s="57" t="s">
        <v>244</v>
      </c>
    </row>
    <row r="8" spans="1:3" x14ac:dyDescent="0.25">
      <c r="A8" s="32" t="s">
        <v>245</v>
      </c>
      <c r="B8" s="56">
        <f>MIN('Raw Data'!$B$2:$B$251)</f>
        <v>45393</v>
      </c>
      <c r="C8" s="57" t="s">
        <v>246</v>
      </c>
    </row>
    <row r="9" spans="1:3" x14ac:dyDescent="0.25">
      <c r="A9" s="32" t="s">
        <v>247</v>
      </c>
      <c r="B9" s="56">
        <f>MAX('Raw Data'!$B$2:$B$251)</f>
        <v>45758</v>
      </c>
      <c r="C9" s="57" t="s">
        <v>248</v>
      </c>
    </row>
    <row r="10" spans="1:3" x14ac:dyDescent="0.25">
      <c r="A10" s="32" t="s">
        <v>249</v>
      </c>
      <c r="B10" s="60">
        <f>B9-B8</f>
        <v>365</v>
      </c>
      <c r="C10" s="57" t="s">
        <v>250</v>
      </c>
    </row>
    <row r="11" spans="1:3" x14ac:dyDescent="0.25">
      <c r="A11" s="32" t="s">
        <v>251</v>
      </c>
      <c r="B11" s="61">
        <f>DATEDIF(B8,B9,"M")</f>
        <v>12</v>
      </c>
      <c r="C11" s="57" t="s">
        <v>252</v>
      </c>
    </row>
    <row r="12" spans="1:3" x14ac:dyDescent="0.25">
      <c r="A12" s="32" t="s">
        <v>253</v>
      </c>
      <c r="B12" s="59" t="str">
        <f>DATEDIF(B8,B9,"Y")&amp;"y "&amp;DATEDIF(B8,B9,"YM")&amp;"m "&amp;DATEDIF(B8,B9,"MD")&amp;"d"</f>
        <v>1y 0m 0d</v>
      </c>
      <c r="C12" s="57" t="s">
        <v>254</v>
      </c>
    </row>
    <row r="13" spans="1:3" x14ac:dyDescent="0.25">
      <c r="A13" s="32" t="s">
        <v>255</v>
      </c>
      <c r="B13" s="60">
        <f ca="1">B5-B9</f>
        <v>552</v>
      </c>
      <c r="C13" s="57" t="s">
        <v>256</v>
      </c>
    </row>
    <row r="14" spans="1:3" x14ac:dyDescent="0.25">
      <c r="A14" s="32" t="s">
        <v>257</v>
      </c>
      <c r="B14" s="59" t="str">
        <f ca="1">DATEDIF(B9,B5,"Y")&amp;"y "&amp;DATEDIF(B9,B5,"YM")&amp;"m "&amp;DATEDIF(B9,B5,"MD")&amp;"d"</f>
        <v>1y 6m 4d</v>
      </c>
      <c r="C14" s="57" t="s">
        <v>258</v>
      </c>
    </row>
    <row r="15" spans="1:3" x14ac:dyDescent="0.25">
      <c r="A15" s="32" t="s">
        <v>259</v>
      </c>
      <c r="B15" s="56">
        <f>EOMONTH(B9,0)</f>
        <v>45777</v>
      </c>
      <c r="C15" s="57" t="s">
        <v>260</v>
      </c>
    </row>
    <row r="16" spans="1:3" x14ac:dyDescent="0.25">
      <c r="A16" s="32" t="s">
        <v>261</v>
      </c>
      <c r="B16" s="56">
        <f ca="1">EOMONTH(B5,0)</f>
        <v>46326</v>
      </c>
      <c r="C16" s="57" t="s">
        <v>262</v>
      </c>
    </row>
    <row r="17" spans="1:6" x14ac:dyDescent="0.25">
      <c r="A17" s="32" t="s">
        <v>263</v>
      </c>
      <c r="B17" s="60">
        <f ca="1">B16-B5</f>
        <v>16</v>
      </c>
      <c r="C17" s="57" t="s">
        <v>264</v>
      </c>
    </row>
    <row r="18" spans="1:6" x14ac:dyDescent="0.25">
      <c r="A18" s="32" t="s">
        <v>265</v>
      </c>
      <c r="B18" s="56">
        <f ca="1">EOMONTH(B5,0)+1</f>
        <v>46327</v>
      </c>
      <c r="C18" s="57" t="s">
        <v>266</v>
      </c>
    </row>
    <row r="19" spans="1:6" x14ac:dyDescent="0.25">
      <c r="A19" s="32" t="s">
        <v>267</v>
      </c>
      <c r="B19" s="56">
        <f ca="1">EOMONTH(DATE(YEAR(B5),ROUNDUP(MONTH(B5)/3,0)*3,1),0)</f>
        <v>46387</v>
      </c>
      <c r="C19" s="57" t="s">
        <v>268</v>
      </c>
    </row>
    <row r="20" spans="1:6" x14ac:dyDescent="0.25">
      <c r="A20" s="32" t="s">
        <v>269</v>
      </c>
      <c r="B20" s="56">
        <f ca="1">EOMONTH(B5,3)</f>
        <v>46418</v>
      </c>
      <c r="C20" s="57" t="s">
        <v>270</v>
      </c>
    </row>
    <row r="23" spans="1:6" ht="15" customHeight="1" x14ac:dyDescent="0.3">
      <c r="A23" s="21" t="s">
        <v>271</v>
      </c>
    </row>
    <row r="24" spans="1:6" ht="30" customHeight="1" x14ac:dyDescent="0.25">
      <c r="A24" s="22" t="s">
        <v>26</v>
      </c>
      <c r="B24" s="22" t="s">
        <v>272</v>
      </c>
      <c r="C24" s="22" t="s">
        <v>273</v>
      </c>
      <c r="D24" s="22" t="s">
        <v>274</v>
      </c>
      <c r="E24" s="22" t="s">
        <v>275</v>
      </c>
      <c r="F24" s="22" t="s">
        <v>276</v>
      </c>
    </row>
    <row r="25" spans="1:6" x14ac:dyDescent="0.25">
      <c r="A25" s="24" t="str">
        <f>'Customer Analysis'!$C$9</f>
        <v>Mark Carter</v>
      </c>
      <c r="B25" s="46">
        <f>INDEX('Customer Analysis'!$K$23:$K$72,MATCH('Customer Analysis'!$B$9,'Customer Analysis'!$A$23:$A$72,0))</f>
        <v>44436</v>
      </c>
      <c r="C25" s="23">
        <f t="shared" ref="C25:C34" ca="1" si="0">DATEDIF(B25,TODAY(),"Y")</f>
        <v>5</v>
      </c>
      <c r="D25" s="23">
        <f t="shared" ref="D25:D34" ca="1" si="1">DATEDIF(B25,TODAY(),"YM")</f>
        <v>1</v>
      </c>
      <c r="E25" s="23">
        <f t="shared" ref="E25:E34" ca="1" si="2">DATEDIF(B25,TODAY(),"MD")</f>
        <v>17</v>
      </c>
      <c r="F25" s="24" t="str">
        <f t="shared" ref="F25:F34" ca="1" si="3">C25&amp;" yrs "&amp;D25&amp;" mths "&amp;E25&amp;" days"</f>
        <v>5 yrs 1 mths 17 days</v>
      </c>
    </row>
    <row r="26" spans="1:6" x14ac:dyDescent="0.25">
      <c r="A26" s="24" t="str">
        <f>'Customer Analysis'!$C$10</f>
        <v>Edward Mitchell</v>
      </c>
      <c r="B26" s="46">
        <f>INDEX('Customer Analysis'!$K$23:$K$72,MATCH('Customer Analysis'!$B$10,'Customer Analysis'!$A$23:$A$72,0))</f>
        <v>44427</v>
      </c>
      <c r="C26" s="23">
        <f t="shared" ca="1" si="0"/>
        <v>5</v>
      </c>
      <c r="D26" s="23">
        <f t="shared" ca="1" si="1"/>
        <v>1</v>
      </c>
      <c r="E26" s="23">
        <f t="shared" ca="1" si="2"/>
        <v>26</v>
      </c>
      <c r="F26" s="24" t="str">
        <f t="shared" ca="1" si="3"/>
        <v>5 yrs 1 mths 26 days</v>
      </c>
    </row>
    <row r="27" spans="1:6" x14ac:dyDescent="0.25">
      <c r="A27" s="24" t="str">
        <f>'Customer Analysis'!$C$11</f>
        <v>Barbara Young</v>
      </c>
      <c r="B27" s="46">
        <f>INDEX('Customer Analysis'!$K$23:$K$72,MATCH('Customer Analysis'!$B$11,'Customer Analysis'!$A$23:$A$72,0))</f>
        <v>44613</v>
      </c>
      <c r="C27" s="23">
        <f t="shared" ca="1" si="0"/>
        <v>4</v>
      </c>
      <c r="D27" s="23">
        <f t="shared" ca="1" si="1"/>
        <v>7</v>
      </c>
      <c r="E27" s="23">
        <f t="shared" ca="1" si="2"/>
        <v>24</v>
      </c>
      <c r="F27" s="24" t="str">
        <f t="shared" ca="1" si="3"/>
        <v>4 yrs 7 mths 24 days</v>
      </c>
    </row>
    <row r="28" spans="1:6" x14ac:dyDescent="0.25">
      <c r="A28" s="24" t="str">
        <f>'Customer Analysis'!$C$12</f>
        <v>Patricia Moore</v>
      </c>
      <c r="B28" s="46">
        <f>INDEX('Customer Analysis'!$K$23:$K$72,MATCH('Customer Analysis'!$B$12,'Customer Analysis'!$A$23:$A$72,0))</f>
        <v>44409</v>
      </c>
      <c r="C28" s="23">
        <f t="shared" ca="1" si="0"/>
        <v>5</v>
      </c>
      <c r="D28" s="23">
        <f t="shared" ca="1" si="1"/>
        <v>2</v>
      </c>
      <c r="E28" s="23">
        <f t="shared" ca="1" si="2"/>
        <v>14</v>
      </c>
      <c r="F28" s="24" t="str">
        <f t="shared" ca="1" si="3"/>
        <v>5 yrs 2 mths 14 days</v>
      </c>
    </row>
    <row r="29" spans="1:6" x14ac:dyDescent="0.25">
      <c r="A29" s="24" t="str">
        <f>'Customer Analysis'!$C$13</f>
        <v>Paul Baker</v>
      </c>
      <c r="B29" s="46">
        <f>INDEX('Customer Analysis'!$K$23:$K$72,MATCH('Customer Analysis'!$B$13,'Customer Analysis'!$A$23:$A$72,0))</f>
        <v>44425</v>
      </c>
      <c r="C29" s="23">
        <f t="shared" ca="1" si="0"/>
        <v>5</v>
      </c>
      <c r="D29" s="23">
        <f t="shared" ca="1" si="1"/>
        <v>1</v>
      </c>
      <c r="E29" s="23">
        <f t="shared" ca="1" si="2"/>
        <v>28</v>
      </c>
      <c r="F29" s="24" t="str">
        <f t="shared" ca="1" si="3"/>
        <v>5 yrs 1 mths 28 days</v>
      </c>
    </row>
    <row r="30" spans="1:6" x14ac:dyDescent="0.25">
      <c r="A30" s="24" t="str">
        <f>'Customer Analysis'!$C$14</f>
        <v>Dorothy Nelson</v>
      </c>
      <c r="B30" s="46">
        <f>INDEX('Customer Analysis'!$K$23:$K$72,MATCH('Customer Analysis'!$B$14,'Customer Analysis'!$A$23:$A$72,0))</f>
        <v>44418</v>
      </c>
      <c r="C30" s="23">
        <f t="shared" ca="1" si="0"/>
        <v>5</v>
      </c>
      <c r="D30" s="23">
        <f t="shared" ca="1" si="1"/>
        <v>2</v>
      </c>
      <c r="E30" s="23">
        <f t="shared" ca="1" si="2"/>
        <v>5</v>
      </c>
      <c r="F30" s="24" t="str">
        <f t="shared" ca="1" si="3"/>
        <v>5 yrs 2 mths 5 days</v>
      </c>
    </row>
    <row r="31" spans="1:6" x14ac:dyDescent="0.25">
      <c r="A31" s="24" t="str">
        <f>'Customer Analysis'!$C$15</f>
        <v>Karen Hill</v>
      </c>
      <c r="B31" s="46">
        <f>INDEX('Customer Analysis'!$K$23:$K$72,MATCH('Customer Analysis'!$B$15,'Customer Analysis'!$A$23:$A$72,0))</f>
        <v>44465</v>
      </c>
      <c r="C31" s="23">
        <f t="shared" ca="1" si="0"/>
        <v>5</v>
      </c>
      <c r="D31" s="23">
        <f t="shared" ca="1" si="1"/>
        <v>0</v>
      </c>
      <c r="E31" s="23">
        <f t="shared" ca="1" si="2"/>
        <v>19</v>
      </c>
      <c r="F31" s="24" t="str">
        <f t="shared" ca="1" si="3"/>
        <v>5 yrs 0 mths 19 days</v>
      </c>
    </row>
    <row r="32" spans="1:6" x14ac:dyDescent="0.25">
      <c r="A32" s="24" t="str">
        <f>'Customer Analysis'!$C$16</f>
        <v>Daniel King</v>
      </c>
      <c r="B32" s="46">
        <f>INDEX('Customer Analysis'!$K$23:$K$72,MATCH('Customer Analysis'!$B$16,'Customer Analysis'!$A$23:$A$72,0))</f>
        <v>44446</v>
      </c>
      <c r="C32" s="23">
        <f t="shared" ca="1" si="0"/>
        <v>5</v>
      </c>
      <c r="D32" s="23">
        <f t="shared" ca="1" si="1"/>
        <v>1</v>
      </c>
      <c r="E32" s="23">
        <f t="shared" ca="1" si="2"/>
        <v>8</v>
      </c>
      <c r="F32" s="24" t="str">
        <f t="shared" ca="1" si="3"/>
        <v>5 yrs 1 mths 8 days</v>
      </c>
    </row>
    <row r="33" spans="1:6" x14ac:dyDescent="0.25">
      <c r="A33" s="24" t="str">
        <f>'Customer Analysis'!$C$17</f>
        <v>Lawrence Reed</v>
      </c>
      <c r="B33" s="46">
        <f>INDEX('Customer Analysis'!$K$23:$K$72,MATCH('Customer Analysis'!$B$17,'Customer Analysis'!$A$23:$A$72,0))</f>
        <v>44544</v>
      </c>
      <c r="C33" s="23">
        <f t="shared" ca="1" si="0"/>
        <v>4</v>
      </c>
      <c r="D33" s="23">
        <f t="shared" ca="1" si="1"/>
        <v>10</v>
      </c>
      <c r="E33" s="23">
        <f t="shared" ca="1" si="2"/>
        <v>1</v>
      </c>
      <c r="F33" s="24" t="str">
        <f t="shared" ca="1" si="3"/>
        <v>4 yrs 10 mths 1 days</v>
      </c>
    </row>
    <row r="34" spans="1:6" x14ac:dyDescent="0.25">
      <c r="A34" s="24" t="str">
        <f>'Customer Analysis'!$C$18</f>
        <v>Joseph Jackson</v>
      </c>
      <c r="B34" s="46">
        <f>INDEX('Customer Analysis'!$K$23:$K$72,MATCH('Customer Analysis'!$B$18,'Customer Analysis'!$A$23:$A$72,0))</f>
        <v>44475</v>
      </c>
      <c r="C34" s="23">
        <f t="shared" ca="1" si="0"/>
        <v>5</v>
      </c>
      <c r="D34" s="23">
        <f t="shared" ca="1" si="1"/>
        <v>0</v>
      </c>
      <c r="E34" s="23">
        <f t="shared" ca="1" si="2"/>
        <v>9</v>
      </c>
      <c r="F34" s="24" t="str">
        <f t="shared" ca="1" si="3"/>
        <v>5 yrs 0 mths 9 days</v>
      </c>
    </row>
    <row r="37" spans="1:6" ht="15" customHeight="1" x14ac:dyDescent="0.3">
      <c r="A37" s="21" t="s">
        <v>277</v>
      </c>
    </row>
    <row r="38" spans="1:6" x14ac:dyDescent="0.25">
      <c r="A38" s="30"/>
    </row>
    <row r="39" spans="1:6" x14ac:dyDescent="0.25">
      <c r="A39" s="30"/>
    </row>
    <row r="40" spans="1:6" ht="30" customHeight="1" x14ac:dyDescent="0.25">
      <c r="A40" s="22" t="s">
        <v>278</v>
      </c>
      <c r="B40" s="22" t="s">
        <v>279</v>
      </c>
    </row>
    <row r="41" spans="1:6" x14ac:dyDescent="0.25">
      <c r="A41" s="62" t="s">
        <v>280</v>
      </c>
      <c r="B41" s="63">
        <f t="shared" ref="B41:B48" ca="1" si="4">IF(A41="","",IF(N(B41)=0,NOW(),B41))</f>
        <v>46310.232862224897</v>
      </c>
    </row>
    <row r="42" spans="1:6" x14ac:dyDescent="0.25">
      <c r="A42" s="62" t="s">
        <v>281</v>
      </c>
      <c r="B42" s="63">
        <f t="shared" ca="1" si="4"/>
        <v>46310.232862225101</v>
      </c>
    </row>
    <row r="43" spans="1:6" x14ac:dyDescent="0.25">
      <c r="A43" s="62" t="s">
        <v>282</v>
      </c>
      <c r="B43" s="63">
        <f t="shared" ca="1" si="4"/>
        <v>46310.232862225297</v>
      </c>
    </row>
    <row r="44" spans="1:6" x14ac:dyDescent="0.25">
      <c r="A44" s="64"/>
      <c r="B44" s="63" t="str">
        <f t="shared" ca="1" si="4"/>
        <v/>
      </c>
    </row>
    <row r="45" spans="1:6" x14ac:dyDescent="0.25">
      <c r="A45" s="64"/>
      <c r="B45" s="63" t="str">
        <f t="shared" ca="1" si="4"/>
        <v/>
      </c>
    </row>
    <row r="46" spans="1:6" x14ac:dyDescent="0.25">
      <c r="A46" s="64"/>
      <c r="B46" s="63" t="str">
        <f t="shared" ca="1" si="4"/>
        <v/>
      </c>
    </row>
    <row r="47" spans="1:6" x14ac:dyDescent="0.25">
      <c r="A47" s="64"/>
      <c r="B47" s="63" t="str">
        <f t="shared" ca="1" si="4"/>
        <v/>
      </c>
    </row>
    <row r="48" spans="1:6" x14ac:dyDescent="0.25">
      <c r="A48" s="64"/>
      <c r="B48" s="63" t="str">
        <f t="shared" ca="1" si="4"/>
        <v/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  <pageSetUpPr fitToPage="1"/>
  </sheetPr>
  <dimension ref="A1:I259"/>
  <sheetViews>
    <sheetView showGridLines="0" zoomScaleNormal="100" workbookViewId="0">
      <pane ySplit="9" topLeftCell="A10" activePane="bottomLeft" state="frozen"/>
      <selection pane="bottomLeft" activeCell="G6" sqref="G6"/>
    </sheetView>
  </sheetViews>
  <sheetFormatPr defaultColWidth="8.6640625" defaultRowHeight="13.2" x14ac:dyDescent="0.25"/>
  <cols>
    <col min="1" max="1" width="7" customWidth="1"/>
    <col min="2" max="2" width="22" customWidth="1"/>
    <col min="3" max="3" width="15" customWidth="1"/>
    <col min="4" max="4" width="20" customWidth="1"/>
    <col min="5" max="5" width="16" customWidth="1"/>
    <col min="6" max="6" width="15" customWidth="1"/>
    <col min="7" max="7" width="12" customWidth="1"/>
    <col min="8" max="8" width="8" customWidth="1"/>
    <col min="9" max="9" width="15" customWidth="1"/>
  </cols>
  <sheetData>
    <row r="1" spans="1:9" ht="21" customHeight="1" x14ac:dyDescent="0.4">
      <c r="A1" s="29" t="s">
        <v>283</v>
      </c>
    </row>
    <row r="2" spans="1:9" x14ac:dyDescent="0.25">
      <c r="A2" s="30"/>
    </row>
    <row r="4" spans="1:9" x14ac:dyDescent="0.25">
      <c r="B4" s="48" t="s">
        <v>2</v>
      </c>
      <c r="C4" s="65" t="s">
        <v>3</v>
      </c>
      <c r="E4" s="48" t="s">
        <v>284</v>
      </c>
      <c r="F4" s="66">
        <f>SUMIF('Raw Data'!$T$2:$T$251,"&gt;0",'Raw Data'!$N$2:$N$251)</f>
        <v>137197.97999999998</v>
      </c>
    </row>
    <row r="5" spans="1:9" x14ac:dyDescent="0.25">
      <c r="B5" s="48" t="s">
        <v>4</v>
      </c>
      <c r="C5" s="65" t="s">
        <v>40</v>
      </c>
      <c r="E5" s="48" t="s">
        <v>285</v>
      </c>
      <c r="F5" s="51">
        <f>IFERROR(F4/C7,0)</f>
        <v>2540.7033333333329</v>
      </c>
    </row>
    <row r="6" spans="1:9" x14ac:dyDescent="0.25">
      <c r="B6" s="48" t="s">
        <v>286</v>
      </c>
      <c r="C6" s="67">
        <v>1000</v>
      </c>
      <c r="E6" s="48"/>
      <c r="F6" s="30"/>
    </row>
    <row r="7" spans="1:9" x14ac:dyDescent="0.25">
      <c r="B7" s="48" t="s">
        <v>287</v>
      </c>
      <c r="C7" s="68">
        <f>COUNT('Raw Data'!$T$2:$T$251)</f>
        <v>54</v>
      </c>
    </row>
    <row r="9" spans="1:9" ht="30" customHeight="1" x14ac:dyDescent="0.25">
      <c r="A9" s="22" t="s">
        <v>59</v>
      </c>
      <c r="B9" s="22" t="s">
        <v>288</v>
      </c>
      <c r="C9" s="22" t="s">
        <v>289</v>
      </c>
      <c r="D9" s="22" t="s">
        <v>26</v>
      </c>
      <c r="E9" s="22" t="s">
        <v>36</v>
      </c>
      <c r="F9" s="22" t="s">
        <v>4</v>
      </c>
      <c r="G9" s="22" t="s">
        <v>2</v>
      </c>
      <c r="H9" s="22" t="s">
        <v>290</v>
      </c>
      <c r="I9" s="22" t="s">
        <v>291</v>
      </c>
    </row>
    <row r="10" spans="1:9" x14ac:dyDescent="0.25">
      <c r="A10" s="23">
        <f>IF(1&lt;=$C$7,1,"")</f>
        <v>1</v>
      </c>
      <c r="B10" s="24" t="str">
        <f>IF($A10="","",INDEX('Raw Data'!$A$2:$A$251,MATCH($A10,'Raw Data'!$T$2:$T$251,0)))</f>
        <v>TRX0135</v>
      </c>
      <c r="C10" s="46">
        <f>IF($A10="","",INDEX('Raw Data'!$B$2:$B$251,MATCH($A10,'Raw Data'!$T$2:$T$251,0)))</f>
        <v>45405</v>
      </c>
      <c r="D10" s="24" t="str">
        <f>IF($A10="","",INDEX('Raw Data'!$D$2:$D$251,MATCH($A10,'Raw Data'!$T$2:$T$251,0)))</f>
        <v>Robert Thomas</v>
      </c>
      <c r="E10" s="24" t="str">
        <f>IF($A10="","",INDEX('Raw Data'!$F$2:$F$251,MATCH($A10,'Raw Data'!$T$2:$T$251,0)))</f>
        <v>Laptop</v>
      </c>
      <c r="F10" s="24" t="str">
        <f>IF($A10="","",INDEX('Raw Data'!$G$2:$G$251,MATCH($A10,'Raw Data'!$T$2:$T$251,0)))</f>
        <v>Electronics</v>
      </c>
      <c r="G10" s="24" t="str">
        <f>IF($A10="","",INDEX('Raw Data'!$K$2:$K$251,MATCH($A10,'Raw Data'!$T$2:$T$251,0)))</f>
        <v>East</v>
      </c>
      <c r="H10" s="26">
        <f>IF($A10="","",INDEX('Raw Data'!$H$2:$H$251,MATCH($A10,'Raw Data'!$T$2:$T$251,0)))</f>
        <v>3</v>
      </c>
      <c r="I10" s="38">
        <f>IF($A10="","",INDEX('Raw Data'!$N$2:$N$251,MATCH($A10,'Raw Data'!$T$2:$T$251,0)))</f>
        <v>2699.97</v>
      </c>
    </row>
    <row r="11" spans="1:9" x14ac:dyDescent="0.25">
      <c r="A11" s="23">
        <f>IF(2&lt;=$C$7,2,"")</f>
        <v>2</v>
      </c>
      <c r="B11" s="24" t="str">
        <f>IF($A11="","",INDEX('Raw Data'!$A$2:$A$251,MATCH($A11,'Raw Data'!$T$2:$T$251,0)))</f>
        <v>TRX0191</v>
      </c>
      <c r="C11" s="46">
        <f>IF($A11="","",INDEX('Raw Data'!$B$2:$B$251,MATCH($A11,'Raw Data'!$T$2:$T$251,0)))</f>
        <v>45409</v>
      </c>
      <c r="D11" s="24" t="str">
        <f>IF($A11="","",INDEX('Raw Data'!$D$2:$D$251,MATCH($A11,'Raw Data'!$T$2:$T$251,0)))</f>
        <v>Michelle Rogers</v>
      </c>
      <c r="E11" s="24" t="str">
        <f>IF($A11="","",INDEX('Raw Data'!$F$2:$F$251,MATCH($A11,'Raw Data'!$T$2:$T$251,0)))</f>
        <v>Smartphone</v>
      </c>
      <c r="F11" s="24" t="str">
        <f>IF($A11="","",INDEX('Raw Data'!$G$2:$G$251,MATCH($A11,'Raw Data'!$T$2:$T$251,0)))</f>
        <v>Electronics</v>
      </c>
      <c r="G11" s="24" t="str">
        <f>IF($A11="","",INDEX('Raw Data'!$K$2:$K$251,MATCH($A11,'Raw Data'!$T$2:$T$251,0)))</f>
        <v>West</v>
      </c>
      <c r="H11" s="26">
        <f>IF($A11="","",INDEX('Raw Data'!$H$2:$H$251,MATCH($A11,'Raw Data'!$T$2:$T$251,0)))</f>
        <v>3</v>
      </c>
      <c r="I11" s="38">
        <f>IF($A11="","",INDEX('Raw Data'!$N$2:$N$251,MATCH($A11,'Raw Data'!$T$2:$T$251,0)))</f>
        <v>2099.9699999999998</v>
      </c>
    </row>
    <row r="12" spans="1:9" x14ac:dyDescent="0.25">
      <c r="A12" s="23">
        <f>IF(3&lt;=$C$7,3,"")</f>
        <v>3</v>
      </c>
      <c r="B12" s="24" t="str">
        <f>IF($A12="","",INDEX('Raw Data'!$A$2:$A$251,MATCH($A12,'Raw Data'!$T$2:$T$251,0)))</f>
        <v>TRX0134</v>
      </c>
      <c r="C12" s="46">
        <f>IF($A12="","",INDEX('Raw Data'!$B$2:$B$251,MATCH($A12,'Raw Data'!$T$2:$T$251,0)))</f>
        <v>45410</v>
      </c>
      <c r="D12" s="24" t="str">
        <f>IF($A12="","",INDEX('Raw Data'!$D$2:$D$251,MATCH($A12,'Raw Data'!$T$2:$T$251,0)))</f>
        <v>Maria Garcia</v>
      </c>
      <c r="E12" s="24" t="str">
        <f>IF($A12="","",INDEX('Raw Data'!$F$2:$F$251,MATCH($A12,'Raw Data'!$T$2:$T$251,0)))</f>
        <v>Smartphone</v>
      </c>
      <c r="F12" s="24" t="str">
        <f>IF($A12="","",INDEX('Raw Data'!$G$2:$G$251,MATCH($A12,'Raw Data'!$T$2:$T$251,0)))</f>
        <v>Electronics</v>
      </c>
      <c r="G12" s="24" t="str">
        <f>IF($A12="","",INDEX('Raw Data'!$K$2:$K$251,MATCH($A12,'Raw Data'!$T$2:$T$251,0)))</f>
        <v>North</v>
      </c>
      <c r="H12" s="26">
        <f>IF($A12="","",INDEX('Raw Data'!$H$2:$H$251,MATCH($A12,'Raw Data'!$T$2:$T$251,0)))</f>
        <v>2</v>
      </c>
      <c r="I12" s="38">
        <f>IF($A12="","",INDEX('Raw Data'!$N$2:$N$251,MATCH($A12,'Raw Data'!$T$2:$T$251,0)))</f>
        <v>1399.98</v>
      </c>
    </row>
    <row r="13" spans="1:9" x14ac:dyDescent="0.25">
      <c r="A13" s="23">
        <f>IF(4&lt;=$C$7,4,"")</f>
        <v>4</v>
      </c>
      <c r="B13" s="24" t="str">
        <f>IF($A13="","",INDEX('Raw Data'!$A$2:$A$251,MATCH($A13,'Raw Data'!$T$2:$T$251,0)))</f>
        <v>TRX0122</v>
      </c>
      <c r="C13" s="46">
        <f>IF($A13="","",INDEX('Raw Data'!$B$2:$B$251,MATCH($A13,'Raw Data'!$T$2:$T$251,0)))</f>
        <v>45410</v>
      </c>
      <c r="D13" s="24" t="str">
        <f>IF($A13="","",INDEX('Raw Data'!$D$2:$D$251,MATCH($A13,'Raw Data'!$T$2:$T$251,0)))</f>
        <v>Mark Carter</v>
      </c>
      <c r="E13" s="24" t="str">
        <f>IF($A13="","",INDEX('Raw Data'!$F$2:$F$251,MATCH($A13,'Raw Data'!$T$2:$T$251,0)))</f>
        <v>Laptop</v>
      </c>
      <c r="F13" s="24" t="str">
        <f>IF($A13="","",INDEX('Raw Data'!$G$2:$G$251,MATCH($A13,'Raw Data'!$T$2:$T$251,0)))</f>
        <v>Electronics</v>
      </c>
      <c r="G13" s="24" t="str">
        <f>IF($A13="","",INDEX('Raw Data'!$K$2:$K$251,MATCH($A13,'Raw Data'!$T$2:$T$251,0)))</f>
        <v>West</v>
      </c>
      <c r="H13" s="26">
        <f>IF($A13="","",INDEX('Raw Data'!$H$2:$H$251,MATCH($A13,'Raw Data'!$T$2:$T$251,0)))</f>
        <v>4</v>
      </c>
      <c r="I13" s="38">
        <f>IF($A13="","",INDEX('Raw Data'!$N$2:$N$251,MATCH($A13,'Raw Data'!$T$2:$T$251,0)))</f>
        <v>3599.96</v>
      </c>
    </row>
    <row r="14" spans="1:9" x14ac:dyDescent="0.25">
      <c r="A14" s="23">
        <f>IF(5&lt;=$C$7,5,"")</f>
        <v>5</v>
      </c>
      <c r="B14" s="24" t="str">
        <f>IF($A14="","",INDEX('Raw Data'!$A$2:$A$251,MATCH($A14,'Raw Data'!$T$2:$T$251,0)))</f>
        <v>TRX0231</v>
      </c>
      <c r="C14" s="46">
        <f>IF($A14="","",INDEX('Raw Data'!$B$2:$B$251,MATCH($A14,'Raw Data'!$T$2:$T$251,0)))</f>
        <v>45412</v>
      </c>
      <c r="D14" s="24" t="str">
        <f>IF($A14="","",INDEX('Raw Data'!$D$2:$D$251,MATCH($A14,'Raw Data'!$T$2:$T$251,0)))</f>
        <v>Barbara Young</v>
      </c>
      <c r="E14" s="24" t="str">
        <f>IF($A14="","",INDEX('Raw Data'!$F$2:$F$251,MATCH($A14,'Raw Data'!$T$2:$T$251,0)))</f>
        <v>Smartphone</v>
      </c>
      <c r="F14" s="24" t="str">
        <f>IF($A14="","",INDEX('Raw Data'!$G$2:$G$251,MATCH($A14,'Raw Data'!$T$2:$T$251,0)))</f>
        <v>Electronics</v>
      </c>
      <c r="G14" s="24" t="str">
        <f>IF($A14="","",INDEX('Raw Data'!$K$2:$K$251,MATCH($A14,'Raw Data'!$T$2:$T$251,0)))</f>
        <v>West</v>
      </c>
      <c r="H14" s="26">
        <f>IF($A14="","",INDEX('Raw Data'!$H$2:$H$251,MATCH($A14,'Raw Data'!$T$2:$T$251,0)))</f>
        <v>5</v>
      </c>
      <c r="I14" s="38">
        <f>IF($A14="","",INDEX('Raw Data'!$N$2:$N$251,MATCH($A14,'Raw Data'!$T$2:$T$251,0)))</f>
        <v>3499.95</v>
      </c>
    </row>
    <row r="15" spans="1:9" x14ac:dyDescent="0.25">
      <c r="A15" s="23">
        <f>IF(6&lt;=$C$7,6,"")</f>
        <v>6</v>
      </c>
      <c r="B15" s="24" t="str">
        <f>IF($A15="","",INDEX('Raw Data'!$A$2:$A$251,MATCH($A15,'Raw Data'!$T$2:$T$251,0)))</f>
        <v>TRX0239</v>
      </c>
      <c r="C15" s="46">
        <f>IF($A15="","",INDEX('Raw Data'!$B$2:$B$251,MATCH($A15,'Raw Data'!$T$2:$T$251,0)))</f>
        <v>45413</v>
      </c>
      <c r="D15" s="24" t="str">
        <f>IF($A15="","",INDEX('Raw Data'!$D$2:$D$251,MATCH($A15,'Raw Data'!$T$2:$T$251,0)))</f>
        <v>Patricia Moore</v>
      </c>
      <c r="E15" s="24" t="str">
        <f>IF($A15="","",INDEX('Raw Data'!$F$2:$F$251,MATCH($A15,'Raw Data'!$T$2:$T$251,0)))</f>
        <v>Smartphone</v>
      </c>
      <c r="F15" s="24" t="str">
        <f>IF($A15="","",INDEX('Raw Data'!$G$2:$G$251,MATCH($A15,'Raw Data'!$T$2:$T$251,0)))</f>
        <v>Electronics</v>
      </c>
      <c r="G15" s="24" t="str">
        <f>IF($A15="","",INDEX('Raw Data'!$K$2:$K$251,MATCH($A15,'Raw Data'!$T$2:$T$251,0)))</f>
        <v>East</v>
      </c>
      <c r="H15" s="26">
        <f>IF($A15="","",INDEX('Raw Data'!$H$2:$H$251,MATCH($A15,'Raw Data'!$T$2:$T$251,0)))</f>
        <v>4</v>
      </c>
      <c r="I15" s="38">
        <f>IF($A15="","",INDEX('Raw Data'!$N$2:$N$251,MATCH($A15,'Raw Data'!$T$2:$T$251,0)))</f>
        <v>2799.96</v>
      </c>
    </row>
    <row r="16" spans="1:9" x14ac:dyDescent="0.25">
      <c r="A16" s="23">
        <f>IF(7&lt;=$C$7,7,"")</f>
        <v>7</v>
      </c>
      <c r="B16" s="24" t="str">
        <f>IF($A16="","",INDEX('Raw Data'!$A$2:$A$251,MATCH($A16,'Raw Data'!$T$2:$T$251,0)))</f>
        <v>TRX0071</v>
      </c>
      <c r="C16" s="46">
        <f>IF($A16="","",INDEX('Raw Data'!$B$2:$B$251,MATCH($A16,'Raw Data'!$T$2:$T$251,0)))</f>
        <v>45422</v>
      </c>
      <c r="D16" s="24" t="str">
        <f>IF($A16="","",INDEX('Raw Data'!$D$2:$D$251,MATCH($A16,'Raw Data'!$T$2:$T$251,0)))</f>
        <v>Nancy Collins</v>
      </c>
      <c r="E16" s="24" t="str">
        <f>IF($A16="","",INDEX('Raw Data'!$F$2:$F$251,MATCH($A16,'Raw Data'!$T$2:$T$251,0)))</f>
        <v>Monitor</v>
      </c>
      <c r="F16" s="24" t="str">
        <f>IF($A16="","",INDEX('Raw Data'!$G$2:$G$251,MATCH($A16,'Raw Data'!$T$2:$T$251,0)))</f>
        <v>Electronics</v>
      </c>
      <c r="G16" s="24" t="str">
        <f>IF($A16="","",INDEX('Raw Data'!$K$2:$K$251,MATCH($A16,'Raw Data'!$T$2:$T$251,0)))</f>
        <v>West</v>
      </c>
      <c r="H16" s="26">
        <f>IF($A16="","",INDEX('Raw Data'!$H$2:$H$251,MATCH($A16,'Raw Data'!$T$2:$T$251,0)))</f>
        <v>5</v>
      </c>
      <c r="I16" s="38">
        <f>IF($A16="","",INDEX('Raw Data'!$N$2:$N$251,MATCH($A16,'Raw Data'!$T$2:$T$251,0)))</f>
        <v>1249.95</v>
      </c>
    </row>
    <row r="17" spans="1:9" x14ac:dyDescent="0.25">
      <c r="A17" s="23">
        <f>IF(8&lt;=$C$7,8,"")</f>
        <v>8</v>
      </c>
      <c r="B17" s="24" t="str">
        <f>IF($A17="","",INDEX('Raw Data'!$A$2:$A$251,MATCH($A17,'Raw Data'!$T$2:$T$251,0)))</f>
        <v>TRX0015</v>
      </c>
      <c r="C17" s="46">
        <f>IF($A17="","",INDEX('Raw Data'!$B$2:$B$251,MATCH($A17,'Raw Data'!$T$2:$T$251,0)))</f>
        <v>45440</v>
      </c>
      <c r="D17" s="24" t="str">
        <f>IF($A17="","",INDEX('Raw Data'!$D$2:$D$251,MATCH($A17,'Raw Data'!$T$2:$T$251,0)))</f>
        <v>Jennifer Taylor</v>
      </c>
      <c r="E17" s="24" t="str">
        <f>IF($A17="","",INDEX('Raw Data'!$F$2:$F$251,MATCH($A17,'Raw Data'!$T$2:$T$251,0)))</f>
        <v>Smartphone</v>
      </c>
      <c r="F17" s="24" t="str">
        <f>IF($A17="","",INDEX('Raw Data'!$G$2:$G$251,MATCH($A17,'Raw Data'!$T$2:$T$251,0)))</f>
        <v>Electronics</v>
      </c>
      <c r="G17" s="24" t="str">
        <f>IF($A17="","",INDEX('Raw Data'!$K$2:$K$251,MATCH($A17,'Raw Data'!$T$2:$T$251,0)))</f>
        <v>West</v>
      </c>
      <c r="H17" s="26">
        <f>IF($A17="","",INDEX('Raw Data'!$H$2:$H$251,MATCH($A17,'Raw Data'!$T$2:$T$251,0)))</f>
        <v>5</v>
      </c>
      <c r="I17" s="38">
        <f>IF($A17="","",INDEX('Raw Data'!$N$2:$N$251,MATCH($A17,'Raw Data'!$T$2:$T$251,0)))</f>
        <v>3499.95</v>
      </c>
    </row>
    <row r="18" spans="1:9" x14ac:dyDescent="0.25">
      <c r="A18" s="23">
        <f>IF(9&lt;=$C$7,9,"")</f>
        <v>9</v>
      </c>
      <c r="B18" s="24" t="str">
        <f>IF($A18="","",INDEX('Raw Data'!$A$2:$A$251,MATCH($A18,'Raw Data'!$T$2:$T$251,0)))</f>
        <v>TRX0234</v>
      </c>
      <c r="C18" s="46">
        <f>IF($A18="","",INDEX('Raw Data'!$B$2:$B$251,MATCH($A18,'Raw Data'!$T$2:$T$251,0)))</f>
        <v>45449</v>
      </c>
      <c r="D18" s="24" t="str">
        <f>IF($A18="","",INDEX('Raw Data'!$D$2:$D$251,MATCH($A18,'Raw Data'!$T$2:$T$251,0)))</f>
        <v>Joseph Jackson</v>
      </c>
      <c r="E18" s="24" t="str">
        <f>IF($A18="","",INDEX('Raw Data'!$F$2:$F$251,MATCH($A18,'Raw Data'!$T$2:$T$251,0)))</f>
        <v>Monitor</v>
      </c>
      <c r="F18" s="24" t="str">
        <f>IF($A18="","",INDEX('Raw Data'!$G$2:$G$251,MATCH($A18,'Raw Data'!$T$2:$T$251,0)))</f>
        <v>Electronics</v>
      </c>
      <c r="G18" s="24" t="str">
        <f>IF($A18="","",INDEX('Raw Data'!$K$2:$K$251,MATCH($A18,'Raw Data'!$T$2:$T$251,0)))</f>
        <v>East</v>
      </c>
      <c r="H18" s="26">
        <f>IF($A18="","",INDEX('Raw Data'!$H$2:$H$251,MATCH($A18,'Raw Data'!$T$2:$T$251,0)))</f>
        <v>5</v>
      </c>
      <c r="I18" s="38">
        <f>IF($A18="","",INDEX('Raw Data'!$N$2:$N$251,MATCH($A18,'Raw Data'!$T$2:$T$251,0)))</f>
        <v>1249.95</v>
      </c>
    </row>
    <row r="19" spans="1:9" x14ac:dyDescent="0.25">
      <c r="A19" s="23">
        <f>IF(10&lt;=$C$7,10,"")</f>
        <v>10</v>
      </c>
      <c r="B19" s="24" t="str">
        <f>IF($A19="","",INDEX('Raw Data'!$A$2:$A$251,MATCH($A19,'Raw Data'!$T$2:$T$251,0)))</f>
        <v>TRX0154</v>
      </c>
      <c r="C19" s="46">
        <f>IF($A19="","",INDEX('Raw Data'!$B$2:$B$251,MATCH($A19,'Raw Data'!$T$2:$T$251,0)))</f>
        <v>45459</v>
      </c>
      <c r="D19" s="24" t="str">
        <f>IF($A19="","",INDEX('Raw Data'!$D$2:$D$251,MATCH($A19,'Raw Data'!$T$2:$T$251,0)))</f>
        <v>Paul Baker</v>
      </c>
      <c r="E19" s="24" t="str">
        <f>IF($A19="","",INDEX('Raw Data'!$F$2:$F$251,MATCH($A19,'Raw Data'!$T$2:$T$251,0)))</f>
        <v>Laptop</v>
      </c>
      <c r="F19" s="24" t="str">
        <f>IF($A19="","",INDEX('Raw Data'!$G$2:$G$251,MATCH($A19,'Raw Data'!$T$2:$T$251,0)))</f>
        <v>Electronics</v>
      </c>
      <c r="G19" s="24" t="str">
        <f>IF($A19="","",INDEX('Raw Data'!$K$2:$K$251,MATCH($A19,'Raw Data'!$T$2:$T$251,0)))</f>
        <v>South</v>
      </c>
      <c r="H19" s="26">
        <f>IF($A19="","",INDEX('Raw Data'!$H$2:$H$251,MATCH($A19,'Raw Data'!$T$2:$T$251,0)))</f>
        <v>5</v>
      </c>
      <c r="I19" s="38">
        <f>IF($A19="","",INDEX('Raw Data'!$N$2:$N$251,MATCH($A19,'Raw Data'!$T$2:$T$251,0)))</f>
        <v>4499.95</v>
      </c>
    </row>
    <row r="20" spans="1:9" x14ac:dyDescent="0.25">
      <c r="A20" s="23">
        <f>IF(11&lt;=$C$7,11,"")</f>
        <v>11</v>
      </c>
      <c r="B20" s="24" t="str">
        <f>IF($A20="","",INDEX('Raw Data'!$A$2:$A$251,MATCH($A20,'Raw Data'!$T$2:$T$251,0)))</f>
        <v>TRX0044</v>
      </c>
      <c r="C20" s="46">
        <f>IF($A20="","",INDEX('Raw Data'!$B$2:$B$251,MATCH($A20,'Raw Data'!$T$2:$T$251,0)))</f>
        <v>45459</v>
      </c>
      <c r="D20" s="24" t="str">
        <f>IF($A20="","",INDEX('Raw Data'!$D$2:$D$251,MATCH($A20,'Raw Data'!$T$2:$T$251,0)))</f>
        <v>Edward Mitchell</v>
      </c>
      <c r="E20" s="24" t="str">
        <f>IF($A20="","",INDEX('Raw Data'!$F$2:$F$251,MATCH($A20,'Raw Data'!$T$2:$T$251,0)))</f>
        <v>Laptop</v>
      </c>
      <c r="F20" s="24" t="str">
        <f>IF($A20="","",INDEX('Raw Data'!$G$2:$G$251,MATCH($A20,'Raw Data'!$T$2:$T$251,0)))</f>
        <v>Electronics</v>
      </c>
      <c r="G20" s="24" t="str">
        <f>IF($A20="","",INDEX('Raw Data'!$K$2:$K$251,MATCH($A20,'Raw Data'!$T$2:$T$251,0)))</f>
        <v>East</v>
      </c>
      <c r="H20" s="26">
        <f>IF($A20="","",INDEX('Raw Data'!$H$2:$H$251,MATCH($A20,'Raw Data'!$T$2:$T$251,0)))</f>
        <v>5</v>
      </c>
      <c r="I20" s="38">
        <f>IF($A20="","",INDEX('Raw Data'!$N$2:$N$251,MATCH($A20,'Raw Data'!$T$2:$T$251,0)))</f>
        <v>4499.95</v>
      </c>
    </row>
    <row r="21" spans="1:9" x14ac:dyDescent="0.25">
      <c r="A21" s="23">
        <f>IF(12&lt;=$C$7,12,"")</f>
        <v>12</v>
      </c>
      <c r="B21" s="24" t="str">
        <f>IF($A21="","",INDEX('Raw Data'!$A$2:$A$251,MATCH($A21,'Raw Data'!$T$2:$T$251,0)))</f>
        <v>TRX0184</v>
      </c>
      <c r="C21" s="46">
        <f>IF($A21="","",INDEX('Raw Data'!$B$2:$B$251,MATCH($A21,'Raw Data'!$T$2:$T$251,0)))</f>
        <v>45471</v>
      </c>
      <c r="D21" s="24" t="str">
        <f>IF($A21="","",INDEX('Raw Data'!$D$2:$D$251,MATCH($A21,'Raw Data'!$T$2:$T$251,0)))</f>
        <v>Kathleen Bennett</v>
      </c>
      <c r="E21" s="24" t="str">
        <f>IF($A21="","",INDEX('Raw Data'!$F$2:$F$251,MATCH($A21,'Raw Data'!$T$2:$T$251,0)))</f>
        <v>Smartphone</v>
      </c>
      <c r="F21" s="24" t="str">
        <f>IF($A21="","",INDEX('Raw Data'!$G$2:$G$251,MATCH($A21,'Raw Data'!$T$2:$T$251,0)))</f>
        <v>Electronics</v>
      </c>
      <c r="G21" s="24" t="str">
        <f>IF($A21="","",INDEX('Raw Data'!$K$2:$K$251,MATCH($A21,'Raw Data'!$T$2:$T$251,0)))</f>
        <v>East</v>
      </c>
      <c r="H21" s="26">
        <f>IF($A21="","",INDEX('Raw Data'!$H$2:$H$251,MATCH($A21,'Raw Data'!$T$2:$T$251,0)))</f>
        <v>3</v>
      </c>
      <c r="I21" s="38">
        <f>IF($A21="","",INDEX('Raw Data'!$N$2:$N$251,MATCH($A21,'Raw Data'!$T$2:$T$251,0)))</f>
        <v>2099.9699999999998</v>
      </c>
    </row>
    <row r="22" spans="1:9" x14ac:dyDescent="0.25">
      <c r="A22" s="23">
        <f>IF(13&lt;=$C$7,13,"")</f>
        <v>13</v>
      </c>
      <c r="B22" s="24" t="str">
        <f>IF($A22="","",INDEX('Raw Data'!$A$2:$A$251,MATCH($A22,'Raw Data'!$T$2:$T$251,0)))</f>
        <v>TRX0104</v>
      </c>
      <c r="C22" s="46">
        <f>IF($A22="","",INDEX('Raw Data'!$B$2:$B$251,MATCH($A22,'Raw Data'!$T$2:$T$251,0)))</f>
        <v>45471</v>
      </c>
      <c r="D22" s="24" t="str">
        <f>IF($A22="","",INDEX('Raw Data'!$D$2:$D$251,MATCH($A22,'Raw Data'!$T$2:$T$251,0)))</f>
        <v>Patricia Moore</v>
      </c>
      <c r="E22" s="24" t="str">
        <f>IF($A22="","",INDEX('Raw Data'!$F$2:$F$251,MATCH($A22,'Raw Data'!$T$2:$T$251,0)))</f>
        <v>Laptop</v>
      </c>
      <c r="F22" s="24" t="str">
        <f>IF($A22="","",INDEX('Raw Data'!$G$2:$G$251,MATCH($A22,'Raw Data'!$T$2:$T$251,0)))</f>
        <v>Electronics</v>
      </c>
      <c r="G22" s="24" t="str">
        <f>IF($A22="","",INDEX('Raw Data'!$K$2:$K$251,MATCH($A22,'Raw Data'!$T$2:$T$251,0)))</f>
        <v>East</v>
      </c>
      <c r="H22" s="26">
        <f>IF($A22="","",INDEX('Raw Data'!$H$2:$H$251,MATCH($A22,'Raw Data'!$T$2:$T$251,0)))</f>
        <v>4</v>
      </c>
      <c r="I22" s="38">
        <f>IF($A22="","",INDEX('Raw Data'!$N$2:$N$251,MATCH($A22,'Raw Data'!$T$2:$T$251,0)))</f>
        <v>3599.96</v>
      </c>
    </row>
    <row r="23" spans="1:9" x14ac:dyDescent="0.25">
      <c r="A23" s="23">
        <f>IF(14&lt;=$C$7,14,"")</f>
        <v>14</v>
      </c>
      <c r="B23" s="24" t="str">
        <f>IF($A23="","",INDEX('Raw Data'!$A$2:$A$251,MATCH($A23,'Raw Data'!$T$2:$T$251,0)))</f>
        <v>TRX0113</v>
      </c>
      <c r="C23" s="46">
        <f>IF($A23="","",INDEX('Raw Data'!$B$2:$B$251,MATCH($A23,'Raw Data'!$T$2:$T$251,0)))</f>
        <v>45481</v>
      </c>
      <c r="D23" s="24" t="str">
        <f>IF($A23="","",INDEX('Raw Data'!$D$2:$D$251,MATCH($A23,'Raw Data'!$T$2:$T$251,0)))</f>
        <v>Michael Brown</v>
      </c>
      <c r="E23" s="24" t="str">
        <f>IF($A23="","",INDEX('Raw Data'!$F$2:$F$251,MATCH($A23,'Raw Data'!$T$2:$T$251,0)))</f>
        <v>Smartphone</v>
      </c>
      <c r="F23" s="24" t="str">
        <f>IF($A23="","",INDEX('Raw Data'!$G$2:$G$251,MATCH($A23,'Raw Data'!$T$2:$T$251,0)))</f>
        <v>Electronics</v>
      </c>
      <c r="G23" s="24" t="str">
        <f>IF($A23="","",INDEX('Raw Data'!$K$2:$K$251,MATCH($A23,'Raw Data'!$T$2:$T$251,0)))</f>
        <v>East</v>
      </c>
      <c r="H23" s="26">
        <f>IF($A23="","",INDEX('Raw Data'!$H$2:$H$251,MATCH($A23,'Raw Data'!$T$2:$T$251,0)))</f>
        <v>2</v>
      </c>
      <c r="I23" s="38">
        <f>IF($A23="","",INDEX('Raw Data'!$N$2:$N$251,MATCH($A23,'Raw Data'!$T$2:$T$251,0)))</f>
        <v>1399.98</v>
      </c>
    </row>
    <row r="24" spans="1:9" x14ac:dyDescent="0.25">
      <c r="A24" s="23">
        <f>IF(15&lt;=$C$7,15,"")</f>
        <v>15</v>
      </c>
      <c r="B24" s="24" t="str">
        <f>IF($A24="","",INDEX('Raw Data'!$A$2:$A$251,MATCH($A24,'Raw Data'!$T$2:$T$251,0)))</f>
        <v>TRX0244</v>
      </c>
      <c r="C24" s="46">
        <f>IF($A24="","",INDEX('Raw Data'!$B$2:$B$251,MATCH($A24,'Raw Data'!$T$2:$T$251,0)))</f>
        <v>45497</v>
      </c>
      <c r="D24" s="24" t="str">
        <f>IF($A24="","",INDEX('Raw Data'!$D$2:$D$251,MATCH($A24,'Raw Data'!$T$2:$T$251,0)))</f>
        <v>Joseph Jackson</v>
      </c>
      <c r="E24" s="24" t="str">
        <f>IF($A24="","",INDEX('Raw Data'!$F$2:$F$251,MATCH($A24,'Raw Data'!$T$2:$T$251,0)))</f>
        <v>Laptop</v>
      </c>
      <c r="F24" s="24" t="str">
        <f>IF($A24="","",INDEX('Raw Data'!$G$2:$G$251,MATCH($A24,'Raw Data'!$T$2:$T$251,0)))</f>
        <v>Electronics</v>
      </c>
      <c r="G24" s="24" t="str">
        <f>IF($A24="","",INDEX('Raw Data'!$K$2:$K$251,MATCH($A24,'Raw Data'!$T$2:$T$251,0)))</f>
        <v>South</v>
      </c>
      <c r="H24" s="26">
        <f>IF($A24="","",INDEX('Raw Data'!$H$2:$H$251,MATCH($A24,'Raw Data'!$T$2:$T$251,0)))</f>
        <v>5</v>
      </c>
      <c r="I24" s="38">
        <f>IF($A24="","",INDEX('Raw Data'!$N$2:$N$251,MATCH($A24,'Raw Data'!$T$2:$T$251,0)))</f>
        <v>4499.95</v>
      </c>
    </row>
    <row r="25" spans="1:9" x14ac:dyDescent="0.25">
      <c r="A25" s="23">
        <f>IF(16&lt;=$C$7,16,"")</f>
        <v>16</v>
      </c>
      <c r="B25" s="24" t="str">
        <f>IF($A25="","",INDEX('Raw Data'!$A$2:$A$251,MATCH($A25,'Raw Data'!$T$2:$T$251,0)))</f>
        <v>TRX0217</v>
      </c>
      <c r="C25" s="46">
        <f>IF($A25="","",INDEX('Raw Data'!$B$2:$B$251,MATCH($A25,'Raw Data'!$T$2:$T$251,0)))</f>
        <v>45503</v>
      </c>
      <c r="D25" s="24" t="str">
        <f>IF($A25="","",INDEX('Raw Data'!$D$2:$D$251,MATCH($A25,'Raw Data'!$T$2:$T$251,0)))</f>
        <v>Mark Carter</v>
      </c>
      <c r="E25" s="24" t="str">
        <f>IF($A25="","",INDEX('Raw Data'!$F$2:$F$251,MATCH($A25,'Raw Data'!$T$2:$T$251,0)))</f>
        <v>Smartphone</v>
      </c>
      <c r="F25" s="24" t="str">
        <f>IF($A25="","",INDEX('Raw Data'!$G$2:$G$251,MATCH($A25,'Raw Data'!$T$2:$T$251,0)))</f>
        <v>Electronics</v>
      </c>
      <c r="G25" s="24" t="str">
        <f>IF($A25="","",INDEX('Raw Data'!$K$2:$K$251,MATCH($A25,'Raw Data'!$T$2:$T$251,0)))</f>
        <v>North</v>
      </c>
      <c r="H25" s="26">
        <f>IF($A25="","",INDEX('Raw Data'!$H$2:$H$251,MATCH($A25,'Raw Data'!$T$2:$T$251,0)))</f>
        <v>2</v>
      </c>
      <c r="I25" s="38">
        <f>IF($A25="","",INDEX('Raw Data'!$N$2:$N$251,MATCH($A25,'Raw Data'!$T$2:$T$251,0)))</f>
        <v>1399.98</v>
      </c>
    </row>
    <row r="26" spans="1:9" x14ac:dyDescent="0.25">
      <c r="A26" s="23">
        <f>IF(17&lt;=$C$7,17,"")</f>
        <v>17</v>
      </c>
      <c r="B26" s="24" t="str">
        <f>IF($A26="","",INDEX('Raw Data'!$A$2:$A$251,MATCH($A26,'Raw Data'!$T$2:$T$251,0)))</f>
        <v>TRX0249</v>
      </c>
      <c r="C26" s="46">
        <f>IF($A26="","",INDEX('Raw Data'!$B$2:$B$251,MATCH($A26,'Raw Data'!$T$2:$T$251,0)))</f>
        <v>45504</v>
      </c>
      <c r="D26" s="24" t="str">
        <f>IF($A26="","",INDEX('Raw Data'!$D$2:$D$251,MATCH($A26,'Raw Data'!$T$2:$T$251,0)))</f>
        <v>Helen Roberts</v>
      </c>
      <c r="E26" s="24" t="str">
        <f>IF($A26="","",INDEX('Raw Data'!$F$2:$F$251,MATCH($A26,'Raw Data'!$T$2:$T$251,0)))</f>
        <v>Laptop</v>
      </c>
      <c r="F26" s="24" t="str">
        <f>IF($A26="","",INDEX('Raw Data'!$G$2:$G$251,MATCH($A26,'Raw Data'!$T$2:$T$251,0)))</f>
        <v>Electronics</v>
      </c>
      <c r="G26" s="24" t="str">
        <f>IF($A26="","",INDEX('Raw Data'!$K$2:$K$251,MATCH($A26,'Raw Data'!$T$2:$T$251,0)))</f>
        <v>South</v>
      </c>
      <c r="H26" s="26">
        <f>IF($A26="","",INDEX('Raw Data'!$H$2:$H$251,MATCH($A26,'Raw Data'!$T$2:$T$251,0)))</f>
        <v>4</v>
      </c>
      <c r="I26" s="38">
        <f>IF($A26="","",INDEX('Raw Data'!$N$2:$N$251,MATCH($A26,'Raw Data'!$T$2:$T$251,0)))</f>
        <v>3599.96</v>
      </c>
    </row>
    <row r="27" spans="1:9" x14ac:dyDescent="0.25">
      <c r="A27" s="23">
        <f>IF(18&lt;=$C$7,18,"")</f>
        <v>18</v>
      </c>
      <c r="B27" s="24" t="str">
        <f>IF($A27="","",INDEX('Raw Data'!$A$2:$A$251,MATCH($A27,'Raw Data'!$T$2:$T$251,0)))</f>
        <v>TRX0075</v>
      </c>
      <c r="C27" s="46">
        <f>IF($A27="","",INDEX('Raw Data'!$B$2:$B$251,MATCH($A27,'Raw Data'!$T$2:$T$251,0)))</f>
        <v>45517</v>
      </c>
      <c r="D27" s="24" t="str">
        <f>IF($A27="","",INDEX('Raw Data'!$D$2:$D$251,MATCH($A27,'Raw Data'!$T$2:$T$251,0)))</f>
        <v>Margaret Wright</v>
      </c>
      <c r="E27" s="24" t="str">
        <f>IF($A27="","",INDEX('Raw Data'!$F$2:$F$251,MATCH($A27,'Raw Data'!$T$2:$T$251,0)))</f>
        <v>Monitor</v>
      </c>
      <c r="F27" s="24" t="str">
        <f>IF($A27="","",INDEX('Raw Data'!$G$2:$G$251,MATCH($A27,'Raw Data'!$T$2:$T$251,0)))</f>
        <v>Electronics</v>
      </c>
      <c r="G27" s="24" t="str">
        <f>IF($A27="","",INDEX('Raw Data'!$K$2:$K$251,MATCH($A27,'Raw Data'!$T$2:$T$251,0)))</f>
        <v>East</v>
      </c>
      <c r="H27" s="26">
        <f>IF($A27="","",INDEX('Raw Data'!$H$2:$H$251,MATCH($A27,'Raw Data'!$T$2:$T$251,0)))</f>
        <v>5</v>
      </c>
      <c r="I27" s="38">
        <f>IF($A27="","",INDEX('Raw Data'!$N$2:$N$251,MATCH($A27,'Raw Data'!$T$2:$T$251,0)))</f>
        <v>1249.95</v>
      </c>
    </row>
    <row r="28" spans="1:9" x14ac:dyDescent="0.25">
      <c r="A28" s="23">
        <f>IF(19&lt;=$C$7,19,"")</f>
        <v>19</v>
      </c>
      <c r="B28" s="24" t="str">
        <f>IF($A28="","",INDEX('Raw Data'!$A$2:$A$251,MATCH($A28,'Raw Data'!$T$2:$T$251,0)))</f>
        <v>TRX0132</v>
      </c>
      <c r="C28" s="46">
        <f>IF($A28="","",INDEX('Raw Data'!$B$2:$B$251,MATCH($A28,'Raw Data'!$T$2:$T$251,0)))</f>
        <v>45523</v>
      </c>
      <c r="D28" s="24" t="str">
        <f>IF($A28="","",INDEX('Raw Data'!$D$2:$D$251,MATCH($A28,'Raw Data'!$T$2:$T$251,0)))</f>
        <v>Gerald Murphy</v>
      </c>
      <c r="E28" s="24" t="str">
        <f>IF($A28="","",INDEX('Raw Data'!$F$2:$F$251,MATCH($A28,'Raw Data'!$T$2:$T$251,0)))</f>
        <v>Laptop</v>
      </c>
      <c r="F28" s="24" t="str">
        <f>IF($A28="","",INDEX('Raw Data'!$G$2:$G$251,MATCH($A28,'Raw Data'!$T$2:$T$251,0)))</f>
        <v>Electronics</v>
      </c>
      <c r="G28" s="24" t="str">
        <f>IF($A28="","",INDEX('Raw Data'!$K$2:$K$251,MATCH($A28,'Raw Data'!$T$2:$T$251,0)))</f>
        <v>East</v>
      </c>
      <c r="H28" s="26">
        <f>IF($A28="","",INDEX('Raw Data'!$H$2:$H$251,MATCH($A28,'Raw Data'!$T$2:$T$251,0)))</f>
        <v>5</v>
      </c>
      <c r="I28" s="38">
        <f>IF($A28="","",INDEX('Raw Data'!$N$2:$N$251,MATCH($A28,'Raw Data'!$T$2:$T$251,0)))</f>
        <v>4499.95</v>
      </c>
    </row>
    <row r="29" spans="1:9" x14ac:dyDescent="0.25">
      <c r="A29" s="23">
        <f>IF(20&lt;=$C$7,20,"")</f>
        <v>20</v>
      </c>
      <c r="B29" s="24" t="str">
        <f>IF($A29="","",INDEX('Raw Data'!$A$2:$A$251,MATCH($A29,'Raw Data'!$T$2:$T$251,0)))</f>
        <v>TRX0248</v>
      </c>
      <c r="C29" s="46">
        <f>IF($A29="","",INDEX('Raw Data'!$B$2:$B$251,MATCH($A29,'Raw Data'!$T$2:$T$251,0)))</f>
        <v>45534</v>
      </c>
      <c r="D29" s="24" t="str">
        <f>IF($A29="","",INDEX('Raw Data'!$D$2:$D$251,MATCH($A29,'Raw Data'!$T$2:$T$251,0)))</f>
        <v>Sandra Phillips</v>
      </c>
      <c r="E29" s="24" t="str">
        <f>IF($A29="","",INDEX('Raw Data'!$F$2:$F$251,MATCH($A29,'Raw Data'!$T$2:$T$251,0)))</f>
        <v>Smartphone</v>
      </c>
      <c r="F29" s="24" t="str">
        <f>IF($A29="","",INDEX('Raw Data'!$G$2:$G$251,MATCH($A29,'Raw Data'!$T$2:$T$251,0)))</f>
        <v>Electronics</v>
      </c>
      <c r="G29" s="24" t="str">
        <f>IF($A29="","",INDEX('Raw Data'!$K$2:$K$251,MATCH($A29,'Raw Data'!$T$2:$T$251,0)))</f>
        <v>North</v>
      </c>
      <c r="H29" s="26">
        <f>IF($A29="","",INDEX('Raw Data'!$H$2:$H$251,MATCH($A29,'Raw Data'!$T$2:$T$251,0)))</f>
        <v>2</v>
      </c>
      <c r="I29" s="38">
        <f>IF($A29="","",INDEX('Raw Data'!$N$2:$N$251,MATCH($A29,'Raw Data'!$T$2:$T$251,0)))</f>
        <v>1399.98</v>
      </c>
    </row>
    <row r="30" spans="1:9" x14ac:dyDescent="0.25">
      <c r="A30" s="23">
        <f>IF(21&lt;=$C$7,21,"")</f>
        <v>21</v>
      </c>
      <c r="B30" s="24" t="str">
        <f>IF($A30="","",INDEX('Raw Data'!$A$2:$A$251,MATCH($A30,'Raw Data'!$T$2:$T$251,0)))</f>
        <v>TRX0225</v>
      </c>
      <c r="C30" s="46">
        <f>IF($A30="","",INDEX('Raw Data'!$B$2:$B$251,MATCH($A30,'Raw Data'!$T$2:$T$251,0)))</f>
        <v>45538</v>
      </c>
      <c r="D30" s="24" t="str">
        <f>IF($A30="","",INDEX('Raw Data'!$D$2:$D$251,MATCH($A30,'Raw Data'!$T$2:$T$251,0)))</f>
        <v>Lawrence Reed</v>
      </c>
      <c r="E30" s="24" t="str">
        <f>IF($A30="","",INDEX('Raw Data'!$F$2:$F$251,MATCH($A30,'Raw Data'!$T$2:$T$251,0)))</f>
        <v>Smartphone</v>
      </c>
      <c r="F30" s="24" t="str">
        <f>IF($A30="","",INDEX('Raw Data'!$G$2:$G$251,MATCH($A30,'Raw Data'!$T$2:$T$251,0)))</f>
        <v>Electronics</v>
      </c>
      <c r="G30" s="24" t="str">
        <f>IF($A30="","",INDEX('Raw Data'!$K$2:$K$251,MATCH($A30,'Raw Data'!$T$2:$T$251,0)))</f>
        <v>Central</v>
      </c>
      <c r="H30" s="26">
        <f>IF($A30="","",INDEX('Raw Data'!$H$2:$H$251,MATCH($A30,'Raw Data'!$T$2:$T$251,0)))</f>
        <v>2</v>
      </c>
      <c r="I30" s="38">
        <f>IF($A30="","",INDEX('Raw Data'!$N$2:$N$251,MATCH($A30,'Raw Data'!$T$2:$T$251,0)))</f>
        <v>1399.98</v>
      </c>
    </row>
    <row r="31" spans="1:9" x14ac:dyDescent="0.25">
      <c r="A31" s="23">
        <f>IF(22&lt;=$C$7,22,"")</f>
        <v>22</v>
      </c>
      <c r="B31" s="24" t="str">
        <f>IF($A31="","",INDEX('Raw Data'!$A$2:$A$251,MATCH($A31,'Raw Data'!$T$2:$T$251,0)))</f>
        <v>TRX0123</v>
      </c>
      <c r="C31" s="46">
        <f>IF($A31="","",INDEX('Raw Data'!$B$2:$B$251,MATCH($A31,'Raw Data'!$T$2:$T$251,0)))</f>
        <v>45554</v>
      </c>
      <c r="D31" s="24" t="str">
        <f>IF($A31="","",INDEX('Raw Data'!$D$2:$D$251,MATCH($A31,'Raw Data'!$T$2:$T$251,0)))</f>
        <v>Peter Richardson</v>
      </c>
      <c r="E31" s="24" t="str">
        <f>IF($A31="","",INDEX('Raw Data'!$F$2:$F$251,MATCH($A31,'Raw Data'!$T$2:$T$251,0)))</f>
        <v>Smartphone</v>
      </c>
      <c r="F31" s="24" t="str">
        <f>IF($A31="","",INDEX('Raw Data'!$G$2:$G$251,MATCH($A31,'Raw Data'!$T$2:$T$251,0)))</f>
        <v>Electronics</v>
      </c>
      <c r="G31" s="24" t="str">
        <f>IF($A31="","",INDEX('Raw Data'!$K$2:$K$251,MATCH($A31,'Raw Data'!$T$2:$T$251,0)))</f>
        <v>South</v>
      </c>
      <c r="H31" s="26">
        <f>IF($A31="","",INDEX('Raw Data'!$H$2:$H$251,MATCH($A31,'Raw Data'!$T$2:$T$251,0)))</f>
        <v>4</v>
      </c>
      <c r="I31" s="38">
        <f>IF($A31="","",INDEX('Raw Data'!$N$2:$N$251,MATCH($A31,'Raw Data'!$T$2:$T$251,0)))</f>
        <v>2799.96</v>
      </c>
    </row>
    <row r="32" spans="1:9" x14ac:dyDescent="0.25">
      <c r="A32" s="23">
        <f>IF(23&lt;=$C$7,23,"")</f>
        <v>23</v>
      </c>
      <c r="B32" s="24" t="str">
        <f>IF($A32="","",INDEX('Raw Data'!$A$2:$A$251,MATCH($A32,'Raw Data'!$T$2:$T$251,0)))</f>
        <v>TRX0177</v>
      </c>
      <c r="C32" s="46">
        <f>IF($A32="","",INDEX('Raw Data'!$B$2:$B$251,MATCH($A32,'Raw Data'!$T$2:$T$251,0)))</f>
        <v>45559</v>
      </c>
      <c r="D32" s="24" t="str">
        <f>IF($A32="","",INDEX('Raw Data'!$D$2:$D$251,MATCH($A32,'Raw Data'!$T$2:$T$251,0)))</f>
        <v>Sandra Phillips</v>
      </c>
      <c r="E32" s="24" t="str">
        <f>IF($A32="","",INDEX('Raw Data'!$F$2:$F$251,MATCH($A32,'Raw Data'!$T$2:$T$251,0)))</f>
        <v>Laptop</v>
      </c>
      <c r="F32" s="24" t="str">
        <f>IF($A32="","",INDEX('Raw Data'!$G$2:$G$251,MATCH($A32,'Raw Data'!$T$2:$T$251,0)))</f>
        <v>Electronics</v>
      </c>
      <c r="G32" s="24" t="str">
        <f>IF($A32="","",INDEX('Raw Data'!$K$2:$K$251,MATCH($A32,'Raw Data'!$T$2:$T$251,0)))</f>
        <v>North</v>
      </c>
      <c r="H32" s="26">
        <f>IF($A32="","",INDEX('Raw Data'!$H$2:$H$251,MATCH($A32,'Raw Data'!$T$2:$T$251,0)))</f>
        <v>3</v>
      </c>
      <c r="I32" s="38">
        <f>IF($A32="","",INDEX('Raw Data'!$N$2:$N$251,MATCH($A32,'Raw Data'!$T$2:$T$251,0)))</f>
        <v>2699.97</v>
      </c>
    </row>
    <row r="33" spans="1:9" x14ac:dyDescent="0.25">
      <c r="A33" s="23">
        <f>IF(24&lt;=$C$7,24,"")</f>
        <v>24</v>
      </c>
      <c r="B33" s="24" t="str">
        <f>IF($A33="","",INDEX('Raw Data'!$A$2:$A$251,MATCH($A33,'Raw Data'!$T$2:$T$251,0)))</f>
        <v>TRX0055</v>
      </c>
      <c r="C33" s="46">
        <f>IF($A33="","",INDEX('Raw Data'!$B$2:$B$251,MATCH($A33,'Raw Data'!$T$2:$T$251,0)))</f>
        <v>45573</v>
      </c>
      <c r="D33" s="24" t="str">
        <f>IF($A33="","",INDEX('Raw Data'!$D$2:$D$251,MATCH($A33,'Raw Data'!$T$2:$T$251,0)))</f>
        <v>Elizabeth Hall</v>
      </c>
      <c r="E33" s="24" t="str">
        <f>IF($A33="","",INDEX('Raw Data'!$F$2:$F$251,MATCH($A33,'Raw Data'!$T$2:$T$251,0)))</f>
        <v>Smartphone</v>
      </c>
      <c r="F33" s="24" t="str">
        <f>IF($A33="","",INDEX('Raw Data'!$G$2:$G$251,MATCH($A33,'Raw Data'!$T$2:$T$251,0)))</f>
        <v>Electronics</v>
      </c>
      <c r="G33" s="24" t="str">
        <f>IF($A33="","",INDEX('Raw Data'!$K$2:$K$251,MATCH($A33,'Raw Data'!$T$2:$T$251,0)))</f>
        <v>East</v>
      </c>
      <c r="H33" s="26">
        <f>IF($A33="","",INDEX('Raw Data'!$H$2:$H$251,MATCH($A33,'Raw Data'!$T$2:$T$251,0)))</f>
        <v>2</v>
      </c>
      <c r="I33" s="38">
        <f>IF($A33="","",INDEX('Raw Data'!$N$2:$N$251,MATCH($A33,'Raw Data'!$T$2:$T$251,0)))</f>
        <v>1399.98</v>
      </c>
    </row>
    <row r="34" spans="1:9" x14ac:dyDescent="0.25">
      <c r="A34" s="23">
        <f>IF(25&lt;=$C$7,25,"")</f>
        <v>25</v>
      </c>
      <c r="B34" s="24" t="str">
        <f>IF($A34="","",INDEX('Raw Data'!$A$2:$A$251,MATCH($A34,'Raw Data'!$T$2:$T$251,0)))</f>
        <v>TRX0158</v>
      </c>
      <c r="C34" s="46">
        <f>IF($A34="","",INDEX('Raw Data'!$B$2:$B$251,MATCH($A34,'Raw Data'!$T$2:$T$251,0)))</f>
        <v>45579</v>
      </c>
      <c r="D34" s="24" t="str">
        <f>IF($A34="","",INDEX('Raw Data'!$D$2:$D$251,MATCH($A34,'Raw Data'!$T$2:$T$251,0)))</f>
        <v>George Adams</v>
      </c>
      <c r="E34" s="24" t="str">
        <f>IF($A34="","",INDEX('Raw Data'!$F$2:$F$251,MATCH($A34,'Raw Data'!$T$2:$T$251,0)))</f>
        <v>Laptop</v>
      </c>
      <c r="F34" s="24" t="str">
        <f>IF($A34="","",INDEX('Raw Data'!$G$2:$G$251,MATCH($A34,'Raw Data'!$T$2:$T$251,0)))</f>
        <v>Electronics</v>
      </c>
      <c r="G34" s="24" t="str">
        <f>IF($A34="","",INDEX('Raw Data'!$K$2:$K$251,MATCH($A34,'Raw Data'!$T$2:$T$251,0)))</f>
        <v>West</v>
      </c>
      <c r="H34" s="26">
        <f>IF($A34="","",INDEX('Raw Data'!$H$2:$H$251,MATCH($A34,'Raw Data'!$T$2:$T$251,0)))</f>
        <v>3</v>
      </c>
      <c r="I34" s="38">
        <f>IF($A34="","",INDEX('Raw Data'!$N$2:$N$251,MATCH($A34,'Raw Data'!$T$2:$T$251,0)))</f>
        <v>2699.97</v>
      </c>
    </row>
    <row r="35" spans="1:9" x14ac:dyDescent="0.25">
      <c r="A35" s="23">
        <f>IF(26&lt;=$C$7,26,"")</f>
        <v>26</v>
      </c>
      <c r="B35" s="24" t="str">
        <f>IF($A35="","",INDEX('Raw Data'!$A$2:$A$251,MATCH($A35,'Raw Data'!$T$2:$T$251,0)))</f>
        <v>TRX0173</v>
      </c>
      <c r="C35" s="46">
        <f>IF($A35="","",INDEX('Raw Data'!$B$2:$B$251,MATCH($A35,'Raw Data'!$T$2:$T$251,0)))</f>
        <v>45581</v>
      </c>
      <c r="D35" s="24" t="str">
        <f>IF($A35="","",INDEX('Raw Data'!$D$2:$D$251,MATCH($A35,'Raw Data'!$T$2:$T$251,0)))</f>
        <v>Barbara Young</v>
      </c>
      <c r="E35" s="24" t="str">
        <f>IF($A35="","",INDEX('Raw Data'!$F$2:$F$251,MATCH($A35,'Raw Data'!$T$2:$T$251,0)))</f>
        <v>Smartphone</v>
      </c>
      <c r="F35" s="24" t="str">
        <f>IF($A35="","",INDEX('Raw Data'!$G$2:$G$251,MATCH($A35,'Raw Data'!$T$2:$T$251,0)))</f>
        <v>Electronics</v>
      </c>
      <c r="G35" s="24" t="str">
        <f>IF($A35="","",INDEX('Raw Data'!$K$2:$K$251,MATCH($A35,'Raw Data'!$T$2:$T$251,0)))</f>
        <v>East</v>
      </c>
      <c r="H35" s="26">
        <f>IF($A35="","",INDEX('Raw Data'!$H$2:$H$251,MATCH($A35,'Raw Data'!$T$2:$T$251,0)))</f>
        <v>5</v>
      </c>
      <c r="I35" s="38">
        <f>IF($A35="","",INDEX('Raw Data'!$N$2:$N$251,MATCH($A35,'Raw Data'!$T$2:$T$251,0)))</f>
        <v>3499.95</v>
      </c>
    </row>
    <row r="36" spans="1:9" x14ac:dyDescent="0.25">
      <c r="A36" s="23">
        <f>IF(27&lt;=$C$7,27,"")</f>
        <v>27</v>
      </c>
      <c r="B36" s="24" t="str">
        <f>IF($A36="","",INDEX('Raw Data'!$A$2:$A$251,MATCH($A36,'Raw Data'!$T$2:$T$251,0)))</f>
        <v>TRX0034</v>
      </c>
      <c r="C36" s="46">
        <f>IF($A36="","",INDEX('Raw Data'!$B$2:$B$251,MATCH($A36,'Raw Data'!$T$2:$T$251,0)))</f>
        <v>45581</v>
      </c>
      <c r="D36" s="24" t="str">
        <f>IF($A36="","",INDEX('Raw Data'!$D$2:$D$251,MATCH($A36,'Raw Data'!$T$2:$T$251,0)))</f>
        <v>Raymond Ross</v>
      </c>
      <c r="E36" s="24" t="str">
        <f>IF($A36="","",INDEX('Raw Data'!$F$2:$F$251,MATCH($A36,'Raw Data'!$T$2:$T$251,0)))</f>
        <v>Smartphone</v>
      </c>
      <c r="F36" s="24" t="str">
        <f>IF($A36="","",INDEX('Raw Data'!$G$2:$G$251,MATCH($A36,'Raw Data'!$T$2:$T$251,0)))</f>
        <v>Electronics</v>
      </c>
      <c r="G36" s="24" t="str">
        <f>IF($A36="","",INDEX('Raw Data'!$K$2:$K$251,MATCH($A36,'Raw Data'!$T$2:$T$251,0)))</f>
        <v>Central</v>
      </c>
      <c r="H36" s="26">
        <f>IF($A36="","",INDEX('Raw Data'!$H$2:$H$251,MATCH($A36,'Raw Data'!$T$2:$T$251,0)))</f>
        <v>4</v>
      </c>
      <c r="I36" s="38">
        <f>IF($A36="","",INDEX('Raw Data'!$N$2:$N$251,MATCH($A36,'Raw Data'!$T$2:$T$251,0)))</f>
        <v>2799.96</v>
      </c>
    </row>
    <row r="37" spans="1:9" x14ac:dyDescent="0.25">
      <c r="A37" s="23">
        <f>IF(28&lt;=$C$7,28,"")</f>
        <v>28</v>
      </c>
      <c r="B37" s="24" t="str">
        <f>IF($A37="","",INDEX('Raw Data'!$A$2:$A$251,MATCH($A37,'Raw Data'!$T$2:$T$251,0)))</f>
        <v>TRX0009</v>
      </c>
      <c r="C37" s="46">
        <f>IF($A37="","",INDEX('Raw Data'!$B$2:$B$251,MATCH($A37,'Raw Data'!$T$2:$T$251,0)))</f>
        <v>45588</v>
      </c>
      <c r="D37" s="24" t="str">
        <f>IF($A37="","",INDEX('Raw Data'!$D$2:$D$251,MATCH($A37,'Raw Data'!$T$2:$T$251,0)))</f>
        <v>Sarah Davis</v>
      </c>
      <c r="E37" s="24" t="str">
        <f>IF($A37="","",INDEX('Raw Data'!$F$2:$F$251,MATCH($A37,'Raw Data'!$T$2:$T$251,0)))</f>
        <v>Smartphone</v>
      </c>
      <c r="F37" s="24" t="str">
        <f>IF($A37="","",INDEX('Raw Data'!$G$2:$G$251,MATCH($A37,'Raw Data'!$T$2:$T$251,0)))</f>
        <v>Electronics</v>
      </c>
      <c r="G37" s="24" t="str">
        <f>IF($A37="","",INDEX('Raw Data'!$K$2:$K$251,MATCH($A37,'Raw Data'!$T$2:$T$251,0)))</f>
        <v>Central</v>
      </c>
      <c r="H37" s="26">
        <f>IF($A37="","",INDEX('Raw Data'!$H$2:$H$251,MATCH($A37,'Raw Data'!$T$2:$T$251,0)))</f>
        <v>2</v>
      </c>
      <c r="I37" s="38">
        <f>IF($A37="","",INDEX('Raw Data'!$N$2:$N$251,MATCH($A37,'Raw Data'!$T$2:$T$251,0)))</f>
        <v>1399.98</v>
      </c>
    </row>
    <row r="38" spans="1:9" x14ac:dyDescent="0.25">
      <c r="A38" s="23">
        <f>IF(29&lt;=$C$7,29,"")</f>
        <v>29</v>
      </c>
      <c r="B38" s="24" t="str">
        <f>IF($A38="","",INDEX('Raw Data'!$A$2:$A$251,MATCH($A38,'Raw Data'!$T$2:$T$251,0)))</f>
        <v>TRX0167</v>
      </c>
      <c r="C38" s="46">
        <f>IF($A38="","",INDEX('Raw Data'!$B$2:$B$251,MATCH($A38,'Raw Data'!$T$2:$T$251,0)))</f>
        <v>45589</v>
      </c>
      <c r="D38" s="24" t="str">
        <f>IF($A38="","",INDEX('Raw Data'!$D$2:$D$251,MATCH($A38,'Raw Data'!$T$2:$T$251,0)))</f>
        <v>Betty Campbell</v>
      </c>
      <c r="E38" s="24" t="str">
        <f>IF($A38="","",INDEX('Raw Data'!$F$2:$F$251,MATCH($A38,'Raw Data'!$T$2:$T$251,0)))</f>
        <v>Smartphone</v>
      </c>
      <c r="F38" s="24" t="str">
        <f>IF($A38="","",INDEX('Raw Data'!$G$2:$G$251,MATCH($A38,'Raw Data'!$T$2:$T$251,0)))</f>
        <v>Electronics</v>
      </c>
      <c r="G38" s="24" t="str">
        <f>IF($A38="","",INDEX('Raw Data'!$K$2:$K$251,MATCH($A38,'Raw Data'!$T$2:$T$251,0)))</f>
        <v>North</v>
      </c>
      <c r="H38" s="26">
        <f>IF($A38="","",INDEX('Raw Data'!$H$2:$H$251,MATCH($A38,'Raw Data'!$T$2:$T$251,0)))</f>
        <v>5</v>
      </c>
      <c r="I38" s="38">
        <f>IF($A38="","",INDEX('Raw Data'!$N$2:$N$251,MATCH($A38,'Raw Data'!$T$2:$T$251,0)))</f>
        <v>3499.95</v>
      </c>
    </row>
    <row r="39" spans="1:9" x14ac:dyDescent="0.25">
      <c r="A39" s="23">
        <f>IF(30&lt;=$C$7,30,"")</f>
        <v>30</v>
      </c>
      <c r="B39" s="24" t="str">
        <f>IF($A39="","",INDEX('Raw Data'!$A$2:$A$251,MATCH($A39,'Raw Data'!$T$2:$T$251,0)))</f>
        <v>TRX0057</v>
      </c>
      <c r="C39" s="46">
        <f>IF($A39="","",INDEX('Raw Data'!$B$2:$B$251,MATCH($A39,'Raw Data'!$T$2:$T$251,0)))</f>
        <v>45597</v>
      </c>
      <c r="D39" s="24" t="str">
        <f>IF($A39="","",INDEX('Raw Data'!$D$2:$D$251,MATCH($A39,'Raw Data'!$T$2:$T$251,0)))</f>
        <v>Paul Baker</v>
      </c>
      <c r="E39" s="24" t="str">
        <f>IF($A39="","",INDEX('Raw Data'!$F$2:$F$251,MATCH($A39,'Raw Data'!$T$2:$T$251,0)))</f>
        <v>Monitor</v>
      </c>
      <c r="F39" s="24" t="str">
        <f>IF($A39="","",INDEX('Raw Data'!$G$2:$G$251,MATCH($A39,'Raw Data'!$T$2:$T$251,0)))</f>
        <v>Electronics</v>
      </c>
      <c r="G39" s="24" t="str">
        <f>IF($A39="","",INDEX('Raw Data'!$K$2:$K$251,MATCH($A39,'Raw Data'!$T$2:$T$251,0)))</f>
        <v>South</v>
      </c>
      <c r="H39" s="26">
        <f>IF($A39="","",INDEX('Raw Data'!$H$2:$H$251,MATCH($A39,'Raw Data'!$T$2:$T$251,0)))</f>
        <v>5</v>
      </c>
      <c r="I39" s="38">
        <f>IF($A39="","",INDEX('Raw Data'!$N$2:$N$251,MATCH($A39,'Raw Data'!$T$2:$T$251,0)))</f>
        <v>1249.95</v>
      </c>
    </row>
    <row r="40" spans="1:9" x14ac:dyDescent="0.25">
      <c r="A40" s="23">
        <f>IF(31&lt;=$C$7,31,"")</f>
        <v>31</v>
      </c>
      <c r="B40" s="24" t="str">
        <f>IF($A40="","",INDEX('Raw Data'!$A$2:$A$251,MATCH($A40,'Raw Data'!$T$2:$T$251,0)))</f>
        <v>TRX0033</v>
      </c>
      <c r="C40" s="46">
        <f>IF($A40="","",INDEX('Raw Data'!$B$2:$B$251,MATCH($A40,'Raw Data'!$T$2:$T$251,0)))</f>
        <v>45613</v>
      </c>
      <c r="D40" s="24" t="str">
        <f>IF($A40="","",INDEX('Raw Data'!$D$2:$D$251,MATCH($A40,'Raw Data'!$T$2:$T$251,0)))</f>
        <v>Mark Carter</v>
      </c>
      <c r="E40" s="24" t="str">
        <f>IF($A40="","",INDEX('Raw Data'!$F$2:$F$251,MATCH($A40,'Raw Data'!$T$2:$T$251,0)))</f>
        <v>Smartphone</v>
      </c>
      <c r="F40" s="24" t="str">
        <f>IF($A40="","",INDEX('Raw Data'!$G$2:$G$251,MATCH($A40,'Raw Data'!$T$2:$T$251,0)))</f>
        <v>Electronics</v>
      </c>
      <c r="G40" s="24" t="str">
        <f>IF($A40="","",INDEX('Raw Data'!$K$2:$K$251,MATCH($A40,'Raw Data'!$T$2:$T$251,0)))</f>
        <v>West</v>
      </c>
      <c r="H40" s="26">
        <f>IF($A40="","",INDEX('Raw Data'!$H$2:$H$251,MATCH($A40,'Raw Data'!$T$2:$T$251,0)))</f>
        <v>2</v>
      </c>
      <c r="I40" s="38">
        <f>IF($A40="","",INDEX('Raw Data'!$N$2:$N$251,MATCH($A40,'Raw Data'!$T$2:$T$251,0)))</f>
        <v>1399.98</v>
      </c>
    </row>
    <row r="41" spans="1:9" x14ac:dyDescent="0.25">
      <c r="A41" s="23">
        <f>IF(32&lt;=$C$7,32,"")</f>
        <v>32</v>
      </c>
      <c r="B41" s="24" t="str">
        <f>IF($A41="","",INDEX('Raw Data'!$A$2:$A$251,MATCH($A41,'Raw Data'!$T$2:$T$251,0)))</f>
        <v>TRX0148</v>
      </c>
      <c r="C41" s="46">
        <f>IF($A41="","",INDEX('Raw Data'!$B$2:$B$251,MATCH($A41,'Raw Data'!$T$2:$T$251,0)))</f>
        <v>45619</v>
      </c>
      <c r="D41" s="24" t="str">
        <f>IF($A41="","",INDEX('Raw Data'!$D$2:$D$251,MATCH($A41,'Raw Data'!$T$2:$T$251,0)))</f>
        <v>Sarah Davis</v>
      </c>
      <c r="E41" s="24" t="str">
        <f>IF($A41="","",INDEX('Raw Data'!$F$2:$F$251,MATCH($A41,'Raw Data'!$T$2:$T$251,0)))</f>
        <v>Smartphone</v>
      </c>
      <c r="F41" s="24" t="str">
        <f>IF($A41="","",INDEX('Raw Data'!$G$2:$G$251,MATCH($A41,'Raw Data'!$T$2:$T$251,0)))</f>
        <v>Electronics</v>
      </c>
      <c r="G41" s="24" t="str">
        <f>IF($A41="","",INDEX('Raw Data'!$K$2:$K$251,MATCH($A41,'Raw Data'!$T$2:$T$251,0)))</f>
        <v>West</v>
      </c>
      <c r="H41" s="26">
        <f>IF($A41="","",INDEX('Raw Data'!$H$2:$H$251,MATCH($A41,'Raw Data'!$T$2:$T$251,0)))</f>
        <v>3</v>
      </c>
      <c r="I41" s="38">
        <f>IF($A41="","",INDEX('Raw Data'!$N$2:$N$251,MATCH($A41,'Raw Data'!$T$2:$T$251,0)))</f>
        <v>2099.9699999999998</v>
      </c>
    </row>
    <row r="42" spans="1:9" x14ac:dyDescent="0.25">
      <c r="A42" s="23">
        <f>IF(33&lt;=$C$7,33,"")</f>
        <v>33</v>
      </c>
      <c r="B42" s="24" t="str">
        <f>IF($A42="","",INDEX('Raw Data'!$A$2:$A$251,MATCH($A42,'Raw Data'!$T$2:$T$251,0)))</f>
        <v>TRX0012</v>
      </c>
      <c r="C42" s="46">
        <f>IF($A42="","",INDEX('Raw Data'!$B$2:$B$251,MATCH($A42,'Raw Data'!$T$2:$T$251,0)))</f>
        <v>45622</v>
      </c>
      <c r="D42" s="24" t="str">
        <f>IF($A42="","",INDEX('Raw Data'!$D$2:$D$251,MATCH($A42,'Raw Data'!$T$2:$T$251,0)))</f>
        <v>Douglas Watson</v>
      </c>
      <c r="E42" s="24" t="str">
        <f>IF($A42="","",INDEX('Raw Data'!$F$2:$F$251,MATCH($A42,'Raw Data'!$T$2:$T$251,0)))</f>
        <v>Monitor</v>
      </c>
      <c r="F42" s="24" t="str">
        <f>IF($A42="","",INDEX('Raw Data'!$G$2:$G$251,MATCH($A42,'Raw Data'!$T$2:$T$251,0)))</f>
        <v>Electronics</v>
      </c>
      <c r="G42" s="24" t="str">
        <f>IF($A42="","",INDEX('Raw Data'!$K$2:$K$251,MATCH($A42,'Raw Data'!$T$2:$T$251,0)))</f>
        <v>North</v>
      </c>
      <c r="H42" s="26">
        <f>IF($A42="","",INDEX('Raw Data'!$H$2:$H$251,MATCH($A42,'Raw Data'!$T$2:$T$251,0)))</f>
        <v>5</v>
      </c>
      <c r="I42" s="38">
        <f>IF($A42="","",INDEX('Raw Data'!$N$2:$N$251,MATCH($A42,'Raw Data'!$T$2:$T$251,0)))</f>
        <v>1249.95</v>
      </c>
    </row>
    <row r="43" spans="1:9" x14ac:dyDescent="0.25">
      <c r="A43" s="23">
        <f>IF(34&lt;=$C$7,34,"")</f>
        <v>34</v>
      </c>
      <c r="B43" s="24" t="str">
        <f>IF($A43="","",INDEX('Raw Data'!$A$2:$A$251,MATCH($A43,'Raw Data'!$T$2:$T$251,0)))</f>
        <v>TRX0094</v>
      </c>
      <c r="C43" s="46">
        <f>IF($A43="","",INDEX('Raw Data'!$B$2:$B$251,MATCH($A43,'Raw Data'!$T$2:$T$251,0)))</f>
        <v>45627</v>
      </c>
      <c r="D43" s="24" t="str">
        <f>IF($A43="","",INDEX('Raw Data'!$D$2:$D$251,MATCH($A43,'Raw Data'!$T$2:$T$251,0)))</f>
        <v>Charles Allen</v>
      </c>
      <c r="E43" s="24" t="str">
        <f>IF($A43="","",INDEX('Raw Data'!$F$2:$F$251,MATCH($A43,'Raw Data'!$T$2:$T$251,0)))</f>
        <v>Monitor</v>
      </c>
      <c r="F43" s="24" t="str">
        <f>IF($A43="","",INDEX('Raw Data'!$G$2:$G$251,MATCH($A43,'Raw Data'!$T$2:$T$251,0)))</f>
        <v>Electronics</v>
      </c>
      <c r="G43" s="24" t="str">
        <f>IF($A43="","",INDEX('Raw Data'!$K$2:$K$251,MATCH($A43,'Raw Data'!$T$2:$T$251,0)))</f>
        <v>Central</v>
      </c>
      <c r="H43" s="26">
        <f>IF($A43="","",INDEX('Raw Data'!$H$2:$H$251,MATCH($A43,'Raw Data'!$T$2:$T$251,0)))</f>
        <v>5</v>
      </c>
      <c r="I43" s="38">
        <f>IF($A43="","",INDEX('Raw Data'!$N$2:$N$251,MATCH($A43,'Raw Data'!$T$2:$T$251,0)))</f>
        <v>1249.95</v>
      </c>
    </row>
    <row r="44" spans="1:9" x14ac:dyDescent="0.25">
      <c r="A44" s="23">
        <f>IF(35&lt;=$C$7,35,"")</f>
        <v>35</v>
      </c>
      <c r="B44" s="24" t="str">
        <f>IF($A44="","",INDEX('Raw Data'!$A$2:$A$251,MATCH($A44,'Raw Data'!$T$2:$T$251,0)))</f>
        <v>TRX0201</v>
      </c>
      <c r="C44" s="46">
        <f>IF($A44="","",INDEX('Raw Data'!$B$2:$B$251,MATCH($A44,'Raw Data'!$T$2:$T$251,0)))</f>
        <v>45627</v>
      </c>
      <c r="D44" s="24" t="str">
        <f>IF($A44="","",INDEX('Raw Data'!$D$2:$D$251,MATCH($A44,'Raw Data'!$T$2:$T$251,0)))</f>
        <v>Mark Carter</v>
      </c>
      <c r="E44" s="24" t="str">
        <f>IF($A44="","",INDEX('Raw Data'!$F$2:$F$251,MATCH($A44,'Raw Data'!$T$2:$T$251,0)))</f>
        <v>Smartphone</v>
      </c>
      <c r="F44" s="24" t="str">
        <f>IF($A44="","",INDEX('Raw Data'!$G$2:$G$251,MATCH($A44,'Raw Data'!$T$2:$T$251,0)))</f>
        <v>Electronics</v>
      </c>
      <c r="G44" s="24" t="str">
        <f>IF($A44="","",INDEX('Raw Data'!$K$2:$K$251,MATCH($A44,'Raw Data'!$T$2:$T$251,0)))</f>
        <v>West</v>
      </c>
      <c r="H44" s="26">
        <f>IF($A44="","",INDEX('Raw Data'!$H$2:$H$251,MATCH($A44,'Raw Data'!$T$2:$T$251,0)))</f>
        <v>5</v>
      </c>
      <c r="I44" s="38">
        <f>IF($A44="","",INDEX('Raw Data'!$N$2:$N$251,MATCH($A44,'Raw Data'!$T$2:$T$251,0)))</f>
        <v>3499.95</v>
      </c>
    </row>
    <row r="45" spans="1:9" x14ac:dyDescent="0.25">
      <c r="A45" s="23">
        <f>IF(36&lt;=$C$7,36,"")</f>
        <v>36</v>
      </c>
      <c r="B45" s="24" t="str">
        <f>IF($A45="","",INDEX('Raw Data'!$A$2:$A$251,MATCH($A45,'Raw Data'!$T$2:$T$251,0)))</f>
        <v>TRX0066</v>
      </c>
      <c r="C45" s="46">
        <f>IF($A45="","",INDEX('Raw Data'!$B$2:$B$251,MATCH($A45,'Raw Data'!$T$2:$T$251,0)))</f>
        <v>45630</v>
      </c>
      <c r="D45" s="24" t="str">
        <f>IF($A45="","",INDEX('Raw Data'!$D$2:$D$251,MATCH($A45,'Raw Data'!$T$2:$T$251,0)))</f>
        <v>Dorothy Nelson</v>
      </c>
      <c r="E45" s="24" t="str">
        <f>IF($A45="","",INDEX('Raw Data'!$F$2:$F$251,MATCH($A45,'Raw Data'!$T$2:$T$251,0)))</f>
        <v>Smartphone</v>
      </c>
      <c r="F45" s="24" t="str">
        <f>IF($A45="","",INDEX('Raw Data'!$G$2:$G$251,MATCH($A45,'Raw Data'!$T$2:$T$251,0)))</f>
        <v>Electronics</v>
      </c>
      <c r="G45" s="24" t="str">
        <f>IF($A45="","",INDEX('Raw Data'!$K$2:$K$251,MATCH($A45,'Raw Data'!$T$2:$T$251,0)))</f>
        <v>North</v>
      </c>
      <c r="H45" s="26">
        <f>IF($A45="","",INDEX('Raw Data'!$H$2:$H$251,MATCH($A45,'Raw Data'!$T$2:$T$251,0)))</f>
        <v>4</v>
      </c>
      <c r="I45" s="38">
        <f>IF($A45="","",INDEX('Raw Data'!$N$2:$N$251,MATCH($A45,'Raw Data'!$T$2:$T$251,0)))</f>
        <v>2799.96</v>
      </c>
    </row>
    <row r="46" spans="1:9" x14ac:dyDescent="0.25">
      <c r="A46" s="23">
        <f>IF(37&lt;=$C$7,37,"")</f>
        <v>37</v>
      </c>
      <c r="B46" s="24" t="str">
        <f>IF($A46="","",INDEX('Raw Data'!$A$2:$A$251,MATCH($A46,'Raw Data'!$T$2:$T$251,0)))</f>
        <v>TRX0032</v>
      </c>
      <c r="C46" s="46">
        <f>IF($A46="","",INDEX('Raw Data'!$B$2:$B$251,MATCH($A46,'Raw Data'!$T$2:$T$251,0)))</f>
        <v>45638</v>
      </c>
      <c r="D46" s="24" t="str">
        <f>IF($A46="","",INDEX('Raw Data'!$D$2:$D$251,MATCH($A46,'Raw Data'!$T$2:$T$251,0)))</f>
        <v>Peter Richardson</v>
      </c>
      <c r="E46" s="24" t="str">
        <f>IF($A46="","",INDEX('Raw Data'!$F$2:$F$251,MATCH($A46,'Raw Data'!$T$2:$T$251,0)))</f>
        <v>Laptop</v>
      </c>
      <c r="F46" s="24" t="str">
        <f>IF($A46="","",INDEX('Raw Data'!$G$2:$G$251,MATCH($A46,'Raw Data'!$T$2:$T$251,0)))</f>
        <v>Electronics</v>
      </c>
      <c r="G46" s="24" t="str">
        <f>IF($A46="","",INDEX('Raw Data'!$K$2:$K$251,MATCH($A46,'Raw Data'!$T$2:$T$251,0)))</f>
        <v>North</v>
      </c>
      <c r="H46" s="26">
        <f>IF($A46="","",INDEX('Raw Data'!$H$2:$H$251,MATCH($A46,'Raw Data'!$T$2:$T$251,0)))</f>
        <v>2</v>
      </c>
      <c r="I46" s="38">
        <f>IF($A46="","",INDEX('Raw Data'!$N$2:$N$251,MATCH($A46,'Raw Data'!$T$2:$T$251,0)))</f>
        <v>1799.98</v>
      </c>
    </row>
    <row r="47" spans="1:9" x14ac:dyDescent="0.25">
      <c r="A47" s="23">
        <f>IF(38&lt;=$C$7,38,"")</f>
        <v>38</v>
      </c>
      <c r="B47" s="24" t="str">
        <f>IF($A47="","",INDEX('Raw Data'!$A$2:$A$251,MATCH($A47,'Raw Data'!$T$2:$T$251,0)))</f>
        <v>TRX0163</v>
      </c>
      <c r="C47" s="46">
        <f>IF($A47="","",INDEX('Raw Data'!$B$2:$B$251,MATCH($A47,'Raw Data'!$T$2:$T$251,0)))</f>
        <v>45645</v>
      </c>
      <c r="D47" s="24" t="str">
        <f>IF($A47="","",INDEX('Raw Data'!$D$2:$D$251,MATCH($A47,'Raw Data'!$T$2:$T$251,0)))</f>
        <v>Daniel King</v>
      </c>
      <c r="E47" s="24" t="str">
        <f>IF($A47="","",INDEX('Raw Data'!$F$2:$F$251,MATCH($A47,'Raw Data'!$T$2:$T$251,0)))</f>
        <v>Laptop</v>
      </c>
      <c r="F47" s="24" t="str">
        <f>IF($A47="","",INDEX('Raw Data'!$G$2:$G$251,MATCH($A47,'Raw Data'!$T$2:$T$251,0)))</f>
        <v>Electronics</v>
      </c>
      <c r="G47" s="24" t="str">
        <f>IF($A47="","",INDEX('Raw Data'!$K$2:$K$251,MATCH($A47,'Raw Data'!$T$2:$T$251,0)))</f>
        <v>East</v>
      </c>
      <c r="H47" s="26">
        <f>IF($A47="","",INDEX('Raw Data'!$H$2:$H$251,MATCH($A47,'Raw Data'!$T$2:$T$251,0)))</f>
        <v>5</v>
      </c>
      <c r="I47" s="38">
        <f>IF($A47="","",INDEX('Raw Data'!$N$2:$N$251,MATCH($A47,'Raw Data'!$T$2:$T$251,0)))</f>
        <v>4499.95</v>
      </c>
    </row>
    <row r="48" spans="1:9" x14ac:dyDescent="0.25">
      <c r="A48" s="23">
        <f>IF(39&lt;=$C$7,39,"")</f>
        <v>39</v>
      </c>
      <c r="B48" s="24" t="str">
        <f>IF($A48="","",INDEX('Raw Data'!$A$2:$A$251,MATCH($A48,'Raw Data'!$T$2:$T$251,0)))</f>
        <v>TRX0125</v>
      </c>
      <c r="C48" s="46">
        <f>IF($A48="","",INDEX('Raw Data'!$B$2:$B$251,MATCH($A48,'Raw Data'!$T$2:$T$251,0)))</f>
        <v>45666</v>
      </c>
      <c r="D48" s="24" t="str">
        <f>IF($A48="","",INDEX('Raw Data'!$D$2:$D$251,MATCH($A48,'Raw Data'!$T$2:$T$251,0)))</f>
        <v>Karen Hill</v>
      </c>
      <c r="E48" s="24" t="str">
        <f>IF($A48="","",INDEX('Raw Data'!$F$2:$F$251,MATCH($A48,'Raw Data'!$T$2:$T$251,0)))</f>
        <v>Smartphone</v>
      </c>
      <c r="F48" s="24" t="str">
        <f>IF($A48="","",INDEX('Raw Data'!$G$2:$G$251,MATCH($A48,'Raw Data'!$T$2:$T$251,0)))</f>
        <v>Electronics</v>
      </c>
      <c r="G48" s="24" t="str">
        <f>IF($A48="","",INDEX('Raw Data'!$K$2:$K$251,MATCH($A48,'Raw Data'!$T$2:$T$251,0)))</f>
        <v>Central</v>
      </c>
      <c r="H48" s="26">
        <f>IF($A48="","",INDEX('Raw Data'!$H$2:$H$251,MATCH($A48,'Raw Data'!$T$2:$T$251,0)))</f>
        <v>3</v>
      </c>
      <c r="I48" s="38">
        <f>IF($A48="","",INDEX('Raw Data'!$N$2:$N$251,MATCH($A48,'Raw Data'!$T$2:$T$251,0)))</f>
        <v>2099.9699999999998</v>
      </c>
    </row>
    <row r="49" spans="1:9" x14ac:dyDescent="0.25">
      <c r="A49" s="23">
        <f>IF(40&lt;=$C$7,40,"")</f>
        <v>40</v>
      </c>
      <c r="B49" s="24" t="str">
        <f>IF($A49="","",INDEX('Raw Data'!$A$2:$A$251,MATCH($A49,'Raw Data'!$T$2:$T$251,0)))</f>
        <v>TRX0243</v>
      </c>
      <c r="C49" s="46">
        <f>IF($A49="","",INDEX('Raw Data'!$B$2:$B$251,MATCH($A49,'Raw Data'!$T$2:$T$251,0)))</f>
        <v>45667</v>
      </c>
      <c r="D49" s="24" t="str">
        <f>IF($A49="","",INDEX('Raw Data'!$D$2:$D$251,MATCH($A49,'Raw Data'!$T$2:$T$251,0)))</f>
        <v>Virginia Sanders</v>
      </c>
      <c r="E49" s="24" t="str">
        <f>IF($A49="","",INDEX('Raw Data'!$F$2:$F$251,MATCH($A49,'Raw Data'!$T$2:$T$251,0)))</f>
        <v>Monitor</v>
      </c>
      <c r="F49" s="24" t="str">
        <f>IF($A49="","",INDEX('Raw Data'!$G$2:$G$251,MATCH($A49,'Raw Data'!$T$2:$T$251,0)))</f>
        <v>Electronics</v>
      </c>
      <c r="G49" s="24" t="str">
        <f>IF($A49="","",INDEX('Raw Data'!$K$2:$K$251,MATCH($A49,'Raw Data'!$T$2:$T$251,0)))</f>
        <v>South</v>
      </c>
      <c r="H49" s="26">
        <f>IF($A49="","",INDEX('Raw Data'!$H$2:$H$251,MATCH($A49,'Raw Data'!$T$2:$T$251,0)))</f>
        <v>5</v>
      </c>
      <c r="I49" s="38">
        <f>IF($A49="","",INDEX('Raw Data'!$N$2:$N$251,MATCH($A49,'Raw Data'!$T$2:$T$251,0)))</f>
        <v>1249.95</v>
      </c>
    </row>
    <row r="50" spans="1:9" x14ac:dyDescent="0.25">
      <c r="A50" s="23">
        <f>IF(41&lt;=$C$7,41,"")</f>
        <v>41</v>
      </c>
      <c r="B50" s="24" t="str">
        <f>IF($A50="","",INDEX('Raw Data'!$A$2:$A$251,MATCH($A50,'Raw Data'!$T$2:$T$251,0)))</f>
        <v>TRX0238</v>
      </c>
      <c r="C50" s="46">
        <f>IF($A50="","",INDEX('Raw Data'!$B$2:$B$251,MATCH($A50,'Raw Data'!$T$2:$T$251,0)))</f>
        <v>45668</v>
      </c>
      <c r="D50" s="24" t="str">
        <f>IF($A50="","",INDEX('Raw Data'!$D$2:$D$251,MATCH($A50,'Raw Data'!$T$2:$T$251,0)))</f>
        <v>Michelle Rogers</v>
      </c>
      <c r="E50" s="24" t="str">
        <f>IF($A50="","",INDEX('Raw Data'!$F$2:$F$251,MATCH($A50,'Raw Data'!$T$2:$T$251,0)))</f>
        <v>Smartphone</v>
      </c>
      <c r="F50" s="24" t="str">
        <f>IF($A50="","",INDEX('Raw Data'!$G$2:$G$251,MATCH($A50,'Raw Data'!$T$2:$T$251,0)))</f>
        <v>Electronics</v>
      </c>
      <c r="G50" s="24" t="str">
        <f>IF($A50="","",INDEX('Raw Data'!$K$2:$K$251,MATCH($A50,'Raw Data'!$T$2:$T$251,0)))</f>
        <v>North</v>
      </c>
      <c r="H50" s="26">
        <f>IF($A50="","",INDEX('Raw Data'!$H$2:$H$251,MATCH($A50,'Raw Data'!$T$2:$T$251,0)))</f>
        <v>3</v>
      </c>
      <c r="I50" s="38">
        <f>IF($A50="","",INDEX('Raw Data'!$N$2:$N$251,MATCH($A50,'Raw Data'!$T$2:$T$251,0)))</f>
        <v>2099.9699999999998</v>
      </c>
    </row>
    <row r="51" spans="1:9" x14ac:dyDescent="0.25">
      <c r="A51" s="23">
        <f>IF(42&lt;=$C$7,42,"")</f>
        <v>42</v>
      </c>
      <c r="B51" s="24" t="str">
        <f>IF($A51="","",INDEX('Raw Data'!$A$2:$A$251,MATCH($A51,'Raw Data'!$T$2:$T$251,0)))</f>
        <v>TRX0030</v>
      </c>
      <c r="C51" s="46">
        <f>IF($A51="","",INDEX('Raw Data'!$B$2:$B$251,MATCH($A51,'Raw Data'!$T$2:$T$251,0)))</f>
        <v>45686</v>
      </c>
      <c r="D51" s="24" t="str">
        <f>IF($A51="","",INDEX('Raw Data'!$D$2:$D$251,MATCH($A51,'Raw Data'!$T$2:$T$251,0)))</f>
        <v>William White</v>
      </c>
      <c r="E51" s="24" t="str">
        <f>IF($A51="","",INDEX('Raw Data'!$F$2:$F$251,MATCH($A51,'Raw Data'!$T$2:$T$251,0)))</f>
        <v>Laptop</v>
      </c>
      <c r="F51" s="24" t="str">
        <f>IF($A51="","",INDEX('Raw Data'!$G$2:$G$251,MATCH($A51,'Raw Data'!$T$2:$T$251,0)))</f>
        <v>Electronics</v>
      </c>
      <c r="G51" s="24" t="str">
        <f>IF($A51="","",INDEX('Raw Data'!$K$2:$K$251,MATCH($A51,'Raw Data'!$T$2:$T$251,0)))</f>
        <v>Central</v>
      </c>
      <c r="H51" s="26">
        <f>IF($A51="","",INDEX('Raw Data'!$H$2:$H$251,MATCH($A51,'Raw Data'!$T$2:$T$251,0)))</f>
        <v>4</v>
      </c>
      <c r="I51" s="38">
        <f>IF($A51="","",INDEX('Raw Data'!$N$2:$N$251,MATCH($A51,'Raw Data'!$T$2:$T$251,0)))</f>
        <v>3599.96</v>
      </c>
    </row>
    <row r="52" spans="1:9" x14ac:dyDescent="0.25">
      <c r="A52" s="23">
        <f>IF(43&lt;=$C$7,43,"")</f>
        <v>43</v>
      </c>
      <c r="B52" s="24" t="str">
        <f>IF($A52="","",INDEX('Raw Data'!$A$2:$A$251,MATCH($A52,'Raw Data'!$T$2:$T$251,0)))</f>
        <v>TRX0188</v>
      </c>
      <c r="C52" s="46">
        <f>IF($A52="","",INDEX('Raw Data'!$B$2:$B$251,MATCH($A52,'Raw Data'!$T$2:$T$251,0)))</f>
        <v>45686</v>
      </c>
      <c r="D52" s="24" t="str">
        <f>IF($A52="","",INDEX('Raw Data'!$D$2:$D$251,MATCH($A52,'Raw Data'!$T$2:$T$251,0)))</f>
        <v>Douglas Watson</v>
      </c>
      <c r="E52" s="24" t="str">
        <f>IF($A52="","",INDEX('Raw Data'!$F$2:$F$251,MATCH($A52,'Raw Data'!$T$2:$T$251,0)))</f>
        <v>Smartphone</v>
      </c>
      <c r="F52" s="24" t="str">
        <f>IF($A52="","",INDEX('Raw Data'!$G$2:$G$251,MATCH($A52,'Raw Data'!$T$2:$T$251,0)))</f>
        <v>Electronics</v>
      </c>
      <c r="G52" s="24" t="str">
        <f>IF($A52="","",INDEX('Raw Data'!$K$2:$K$251,MATCH($A52,'Raw Data'!$T$2:$T$251,0)))</f>
        <v>Central</v>
      </c>
      <c r="H52" s="26">
        <f>IF($A52="","",INDEX('Raw Data'!$H$2:$H$251,MATCH($A52,'Raw Data'!$T$2:$T$251,0)))</f>
        <v>2</v>
      </c>
      <c r="I52" s="38">
        <f>IF($A52="","",INDEX('Raw Data'!$N$2:$N$251,MATCH($A52,'Raw Data'!$T$2:$T$251,0)))</f>
        <v>1399.98</v>
      </c>
    </row>
    <row r="53" spans="1:9" x14ac:dyDescent="0.25">
      <c r="A53" s="23">
        <f>IF(44&lt;=$C$7,44,"")</f>
        <v>44</v>
      </c>
      <c r="B53" s="24" t="str">
        <f>IF($A53="","",INDEX('Raw Data'!$A$2:$A$251,MATCH($A53,'Raw Data'!$T$2:$T$251,0)))</f>
        <v>TRX0010</v>
      </c>
      <c r="C53" s="46">
        <f>IF($A53="","",INDEX('Raw Data'!$B$2:$B$251,MATCH($A53,'Raw Data'!$T$2:$T$251,0)))</f>
        <v>45688</v>
      </c>
      <c r="D53" s="24" t="str">
        <f>IF($A53="","",INDEX('Raw Data'!$D$2:$D$251,MATCH($A53,'Raw Data'!$T$2:$T$251,0)))</f>
        <v>Karen Hill</v>
      </c>
      <c r="E53" s="24" t="str">
        <f>IF($A53="","",INDEX('Raw Data'!$F$2:$F$251,MATCH($A53,'Raw Data'!$T$2:$T$251,0)))</f>
        <v>Smartphone</v>
      </c>
      <c r="F53" s="24" t="str">
        <f>IF($A53="","",INDEX('Raw Data'!$G$2:$G$251,MATCH($A53,'Raw Data'!$T$2:$T$251,0)))</f>
        <v>Electronics</v>
      </c>
      <c r="G53" s="24" t="str">
        <f>IF($A53="","",INDEX('Raw Data'!$K$2:$K$251,MATCH($A53,'Raw Data'!$T$2:$T$251,0)))</f>
        <v>West</v>
      </c>
      <c r="H53" s="26">
        <f>IF($A53="","",INDEX('Raw Data'!$H$2:$H$251,MATCH($A53,'Raw Data'!$T$2:$T$251,0)))</f>
        <v>4</v>
      </c>
      <c r="I53" s="38">
        <f>IF($A53="","",INDEX('Raw Data'!$N$2:$N$251,MATCH($A53,'Raw Data'!$T$2:$T$251,0)))</f>
        <v>2799.96</v>
      </c>
    </row>
    <row r="54" spans="1:9" x14ac:dyDescent="0.25">
      <c r="A54" s="23">
        <f>IF(45&lt;=$C$7,45,"")</f>
        <v>45</v>
      </c>
      <c r="B54" s="24" t="str">
        <f>IF($A54="","",INDEX('Raw Data'!$A$2:$A$251,MATCH($A54,'Raw Data'!$T$2:$T$251,0)))</f>
        <v>TRX0179</v>
      </c>
      <c r="C54" s="46">
        <f>IF($A54="","",INDEX('Raw Data'!$B$2:$B$251,MATCH($A54,'Raw Data'!$T$2:$T$251,0)))</f>
        <v>45707</v>
      </c>
      <c r="D54" s="24" t="str">
        <f>IF($A54="","",INDEX('Raw Data'!$D$2:$D$251,MATCH($A54,'Raw Data'!$T$2:$T$251,0)))</f>
        <v>Edward Mitchell</v>
      </c>
      <c r="E54" s="24" t="str">
        <f>IF($A54="","",INDEX('Raw Data'!$F$2:$F$251,MATCH($A54,'Raw Data'!$T$2:$T$251,0)))</f>
        <v>Smartphone</v>
      </c>
      <c r="F54" s="24" t="str">
        <f>IF($A54="","",INDEX('Raw Data'!$G$2:$G$251,MATCH($A54,'Raw Data'!$T$2:$T$251,0)))</f>
        <v>Electronics</v>
      </c>
      <c r="G54" s="24" t="str">
        <f>IF($A54="","",INDEX('Raw Data'!$K$2:$K$251,MATCH($A54,'Raw Data'!$T$2:$T$251,0)))</f>
        <v>South</v>
      </c>
      <c r="H54" s="26">
        <f>IF($A54="","",INDEX('Raw Data'!$H$2:$H$251,MATCH($A54,'Raw Data'!$T$2:$T$251,0)))</f>
        <v>5</v>
      </c>
      <c r="I54" s="38">
        <f>IF($A54="","",INDEX('Raw Data'!$N$2:$N$251,MATCH($A54,'Raw Data'!$T$2:$T$251,0)))</f>
        <v>3499.95</v>
      </c>
    </row>
    <row r="55" spans="1:9" x14ac:dyDescent="0.25">
      <c r="A55" s="23">
        <f>IF(46&lt;=$C$7,46,"")</f>
        <v>46</v>
      </c>
      <c r="B55" s="24" t="str">
        <f>IF($A55="","",INDEX('Raw Data'!$A$2:$A$251,MATCH($A55,'Raw Data'!$T$2:$T$251,0)))</f>
        <v>TRX0214</v>
      </c>
      <c r="C55" s="46">
        <f>IF($A55="","",INDEX('Raw Data'!$B$2:$B$251,MATCH($A55,'Raw Data'!$T$2:$T$251,0)))</f>
        <v>45708</v>
      </c>
      <c r="D55" s="24" t="str">
        <f>IF($A55="","",INDEX('Raw Data'!$D$2:$D$251,MATCH($A55,'Raw Data'!$T$2:$T$251,0)))</f>
        <v>Barbara Young</v>
      </c>
      <c r="E55" s="24" t="str">
        <f>IF($A55="","",INDEX('Raw Data'!$F$2:$F$251,MATCH($A55,'Raw Data'!$T$2:$T$251,0)))</f>
        <v>Laptop</v>
      </c>
      <c r="F55" s="24" t="str">
        <f>IF($A55="","",INDEX('Raw Data'!$G$2:$G$251,MATCH($A55,'Raw Data'!$T$2:$T$251,0)))</f>
        <v>Electronics</v>
      </c>
      <c r="G55" s="24" t="str">
        <f>IF($A55="","",INDEX('Raw Data'!$K$2:$K$251,MATCH($A55,'Raw Data'!$T$2:$T$251,0)))</f>
        <v>East</v>
      </c>
      <c r="H55" s="26">
        <f>IF($A55="","",INDEX('Raw Data'!$H$2:$H$251,MATCH($A55,'Raw Data'!$T$2:$T$251,0)))</f>
        <v>3</v>
      </c>
      <c r="I55" s="38">
        <f>IF($A55="","",INDEX('Raw Data'!$N$2:$N$251,MATCH($A55,'Raw Data'!$T$2:$T$251,0)))</f>
        <v>2699.97</v>
      </c>
    </row>
    <row r="56" spans="1:9" x14ac:dyDescent="0.25">
      <c r="A56" s="23">
        <f>IF(47&lt;=$C$7,47,"")</f>
        <v>47</v>
      </c>
      <c r="B56" s="24" t="str">
        <f>IF($A56="","",INDEX('Raw Data'!$A$2:$A$251,MATCH($A56,'Raw Data'!$T$2:$T$251,0)))</f>
        <v>TRX0226</v>
      </c>
      <c r="C56" s="46">
        <f>IF($A56="","",INDEX('Raw Data'!$B$2:$B$251,MATCH($A56,'Raw Data'!$T$2:$T$251,0)))</f>
        <v>45720</v>
      </c>
      <c r="D56" s="24" t="str">
        <f>IF($A56="","",INDEX('Raw Data'!$D$2:$D$251,MATCH($A56,'Raw Data'!$T$2:$T$251,0)))</f>
        <v>Lawrence Reed</v>
      </c>
      <c r="E56" s="24" t="str">
        <f>IF($A56="","",INDEX('Raw Data'!$F$2:$F$251,MATCH($A56,'Raw Data'!$T$2:$T$251,0)))</f>
        <v>Smartphone</v>
      </c>
      <c r="F56" s="24" t="str">
        <f>IF($A56="","",INDEX('Raw Data'!$G$2:$G$251,MATCH($A56,'Raw Data'!$T$2:$T$251,0)))</f>
        <v>Electronics</v>
      </c>
      <c r="G56" s="24" t="str">
        <f>IF($A56="","",INDEX('Raw Data'!$K$2:$K$251,MATCH($A56,'Raw Data'!$T$2:$T$251,0)))</f>
        <v>East</v>
      </c>
      <c r="H56" s="26">
        <f>IF($A56="","",INDEX('Raw Data'!$H$2:$H$251,MATCH($A56,'Raw Data'!$T$2:$T$251,0)))</f>
        <v>5</v>
      </c>
      <c r="I56" s="38">
        <f>IF($A56="","",INDEX('Raw Data'!$N$2:$N$251,MATCH($A56,'Raw Data'!$T$2:$T$251,0)))</f>
        <v>3499.95</v>
      </c>
    </row>
    <row r="57" spans="1:9" x14ac:dyDescent="0.25">
      <c r="A57" s="23">
        <f>IF(48&lt;=$C$7,48,"")</f>
        <v>48</v>
      </c>
      <c r="B57" s="24" t="str">
        <f>IF($A57="","",INDEX('Raw Data'!$A$2:$A$251,MATCH($A57,'Raw Data'!$T$2:$T$251,0)))</f>
        <v>TRX0175</v>
      </c>
      <c r="C57" s="46">
        <f>IF($A57="","",INDEX('Raw Data'!$B$2:$B$251,MATCH($A57,'Raw Data'!$T$2:$T$251,0)))</f>
        <v>45723</v>
      </c>
      <c r="D57" s="24" t="str">
        <f>IF($A57="","",INDEX('Raw Data'!$D$2:$D$251,MATCH($A57,'Raw Data'!$T$2:$T$251,0)))</f>
        <v>Helen Roberts</v>
      </c>
      <c r="E57" s="24" t="str">
        <f>IF($A57="","",INDEX('Raw Data'!$F$2:$F$251,MATCH($A57,'Raw Data'!$T$2:$T$251,0)))</f>
        <v>Monitor</v>
      </c>
      <c r="F57" s="24" t="str">
        <f>IF($A57="","",INDEX('Raw Data'!$G$2:$G$251,MATCH($A57,'Raw Data'!$T$2:$T$251,0)))</f>
        <v>Electronics</v>
      </c>
      <c r="G57" s="24" t="str">
        <f>IF($A57="","",INDEX('Raw Data'!$K$2:$K$251,MATCH($A57,'Raw Data'!$T$2:$T$251,0)))</f>
        <v>East</v>
      </c>
      <c r="H57" s="26">
        <f>IF($A57="","",INDEX('Raw Data'!$H$2:$H$251,MATCH($A57,'Raw Data'!$T$2:$T$251,0)))</f>
        <v>5</v>
      </c>
      <c r="I57" s="38">
        <f>IF($A57="","",INDEX('Raw Data'!$N$2:$N$251,MATCH($A57,'Raw Data'!$T$2:$T$251,0)))</f>
        <v>1249.95</v>
      </c>
    </row>
    <row r="58" spans="1:9" x14ac:dyDescent="0.25">
      <c r="A58" s="23">
        <f>IF(49&lt;=$C$7,49,"")</f>
        <v>49</v>
      </c>
      <c r="B58" s="24" t="str">
        <f>IF($A58="","",INDEX('Raw Data'!$A$2:$A$251,MATCH($A58,'Raw Data'!$T$2:$T$251,0)))</f>
        <v>TRX0016</v>
      </c>
      <c r="C58" s="46">
        <f>IF($A58="","",INDEX('Raw Data'!$B$2:$B$251,MATCH($A58,'Raw Data'!$T$2:$T$251,0)))</f>
        <v>45724</v>
      </c>
      <c r="D58" s="24" t="str">
        <f>IF($A58="","",INDEX('Raw Data'!$D$2:$D$251,MATCH($A58,'Raw Data'!$T$2:$T$251,0)))</f>
        <v>Harry Morgan</v>
      </c>
      <c r="E58" s="24" t="str">
        <f>IF($A58="","",INDEX('Raw Data'!$F$2:$F$251,MATCH($A58,'Raw Data'!$T$2:$T$251,0)))</f>
        <v>Laptop</v>
      </c>
      <c r="F58" s="24" t="str">
        <f>IF($A58="","",INDEX('Raw Data'!$G$2:$G$251,MATCH($A58,'Raw Data'!$T$2:$T$251,0)))</f>
        <v>Electronics</v>
      </c>
      <c r="G58" s="24" t="str">
        <f>IF($A58="","",INDEX('Raw Data'!$K$2:$K$251,MATCH($A58,'Raw Data'!$T$2:$T$251,0)))</f>
        <v>East</v>
      </c>
      <c r="H58" s="26">
        <f>IF($A58="","",INDEX('Raw Data'!$H$2:$H$251,MATCH($A58,'Raw Data'!$T$2:$T$251,0)))</f>
        <v>5</v>
      </c>
      <c r="I58" s="38">
        <f>IF($A58="","",INDEX('Raw Data'!$N$2:$N$251,MATCH($A58,'Raw Data'!$T$2:$T$251,0)))</f>
        <v>4499.95</v>
      </c>
    </row>
    <row r="59" spans="1:9" x14ac:dyDescent="0.25">
      <c r="A59" s="23">
        <f>IF(50&lt;=$C$7,50,"")</f>
        <v>50</v>
      </c>
      <c r="B59" s="24" t="str">
        <f>IF($A59="","",INDEX('Raw Data'!$A$2:$A$251,MATCH($A59,'Raw Data'!$T$2:$T$251,0)))</f>
        <v>TRX0124</v>
      </c>
      <c r="C59" s="46">
        <f>IF($A59="","",INDEX('Raw Data'!$B$2:$B$251,MATCH($A59,'Raw Data'!$T$2:$T$251,0)))</f>
        <v>45737</v>
      </c>
      <c r="D59" s="24" t="str">
        <f>IF($A59="","",INDEX('Raw Data'!$D$2:$D$251,MATCH($A59,'Raw Data'!$T$2:$T$251,0)))</f>
        <v>Sharon Butler</v>
      </c>
      <c r="E59" s="24" t="str">
        <f>IF($A59="","",INDEX('Raw Data'!$F$2:$F$251,MATCH($A59,'Raw Data'!$T$2:$T$251,0)))</f>
        <v>Laptop</v>
      </c>
      <c r="F59" s="24" t="str">
        <f>IF($A59="","",INDEX('Raw Data'!$G$2:$G$251,MATCH($A59,'Raw Data'!$T$2:$T$251,0)))</f>
        <v>Electronics</v>
      </c>
      <c r="G59" s="24" t="str">
        <f>IF($A59="","",INDEX('Raw Data'!$K$2:$K$251,MATCH($A59,'Raw Data'!$T$2:$T$251,0)))</f>
        <v>North</v>
      </c>
      <c r="H59" s="26">
        <f>IF($A59="","",INDEX('Raw Data'!$H$2:$H$251,MATCH($A59,'Raw Data'!$T$2:$T$251,0)))</f>
        <v>3</v>
      </c>
      <c r="I59" s="38">
        <f>IF($A59="","",INDEX('Raw Data'!$N$2:$N$251,MATCH($A59,'Raw Data'!$T$2:$T$251,0)))</f>
        <v>2699.97</v>
      </c>
    </row>
    <row r="60" spans="1:9" x14ac:dyDescent="0.25">
      <c r="A60" s="23">
        <f>IF(51&lt;=$C$7,51,"")</f>
        <v>51</v>
      </c>
      <c r="B60" s="24" t="str">
        <f>IF($A60="","",INDEX('Raw Data'!$A$2:$A$251,MATCH($A60,'Raw Data'!$T$2:$T$251,0)))</f>
        <v>TRX0013</v>
      </c>
      <c r="C60" s="46">
        <f>IF($A60="","",INDEX('Raw Data'!$B$2:$B$251,MATCH($A60,'Raw Data'!$T$2:$T$251,0)))</f>
        <v>45737</v>
      </c>
      <c r="D60" s="24" t="str">
        <f>IF($A60="","",INDEX('Raw Data'!$D$2:$D$251,MATCH($A60,'Raw Data'!$T$2:$T$251,0)))</f>
        <v>Dorothy Nelson</v>
      </c>
      <c r="E60" s="24" t="str">
        <f>IF($A60="","",INDEX('Raw Data'!$F$2:$F$251,MATCH($A60,'Raw Data'!$T$2:$T$251,0)))</f>
        <v>Laptop</v>
      </c>
      <c r="F60" s="24" t="str">
        <f>IF($A60="","",INDEX('Raw Data'!$G$2:$G$251,MATCH($A60,'Raw Data'!$T$2:$T$251,0)))</f>
        <v>Electronics</v>
      </c>
      <c r="G60" s="24" t="str">
        <f>IF($A60="","",INDEX('Raw Data'!$K$2:$K$251,MATCH($A60,'Raw Data'!$T$2:$T$251,0)))</f>
        <v>North</v>
      </c>
      <c r="H60" s="26">
        <f>IF($A60="","",INDEX('Raw Data'!$H$2:$H$251,MATCH($A60,'Raw Data'!$T$2:$T$251,0)))</f>
        <v>3</v>
      </c>
      <c r="I60" s="38">
        <f>IF($A60="","",INDEX('Raw Data'!$N$2:$N$251,MATCH($A60,'Raw Data'!$T$2:$T$251,0)))</f>
        <v>2699.97</v>
      </c>
    </row>
    <row r="61" spans="1:9" x14ac:dyDescent="0.25">
      <c r="A61" s="23">
        <f>IF(52&lt;=$C$7,52,"")</f>
        <v>52</v>
      </c>
      <c r="B61" s="24" t="str">
        <f>IF($A61="","",INDEX('Raw Data'!$A$2:$A$251,MATCH($A61,'Raw Data'!$T$2:$T$251,0)))</f>
        <v>TRX0068</v>
      </c>
      <c r="C61" s="46">
        <f>IF($A61="","",INDEX('Raw Data'!$B$2:$B$251,MATCH($A61,'Raw Data'!$T$2:$T$251,0)))</f>
        <v>45748</v>
      </c>
      <c r="D61" s="24" t="str">
        <f>IF($A61="","",INDEX('Raw Data'!$D$2:$D$251,MATCH($A61,'Raw Data'!$T$2:$T$251,0)))</f>
        <v>Cynthia Price</v>
      </c>
      <c r="E61" s="24" t="str">
        <f>IF($A61="","",INDEX('Raw Data'!$F$2:$F$251,MATCH($A61,'Raw Data'!$T$2:$T$251,0)))</f>
        <v>Smartphone</v>
      </c>
      <c r="F61" s="24" t="str">
        <f>IF($A61="","",INDEX('Raw Data'!$G$2:$G$251,MATCH($A61,'Raw Data'!$T$2:$T$251,0)))</f>
        <v>Electronics</v>
      </c>
      <c r="G61" s="24" t="str">
        <f>IF($A61="","",INDEX('Raw Data'!$K$2:$K$251,MATCH($A61,'Raw Data'!$T$2:$T$251,0)))</f>
        <v>North</v>
      </c>
      <c r="H61" s="26">
        <f>IF($A61="","",INDEX('Raw Data'!$H$2:$H$251,MATCH($A61,'Raw Data'!$T$2:$T$251,0)))</f>
        <v>2</v>
      </c>
      <c r="I61" s="38">
        <f>IF($A61="","",INDEX('Raw Data'!$N$2:$N$251,MATCH($A61,'Raw Data'!$T$2:$T$251,0)))</f>
        <v>1399.98</v>
      </c>
    </row>
    <row r="62" spans="1:9" x14ac:dyDescent="0.25">
      <c r="A62" s="23">
        <f>IF(53&lt;=$C$7,53,"")</f>
        <v>53</v>
      </c>
      <c r="B62" s="24" t="str">
        <f>IF($A62="","",INDEX('Raw Data'!$A$2:$A$251,MATCH($A62,'Raw Data'!$T$2:$T$251,0)))</f>
        <v>TRX0144</v>
      </c>
      <c r="C62" s="46">
        <f>IF($A62="","",INDEX('Raw Data'!$B$2:$B$251,MATCH($A62,'Raw Data'!$T$2:$T$251,0)))</f>
        <v>45749</v>
      </c>
      <c r="D62" s="24" t="str">
        <f>IF($A62="","",INDEX('Raw Data'!$D$2:$D$251,MATCH($A62,'Raw Data'!$T$2:$T$251,0)))</f>
        <v>Edward Mitchell</v>
      </c>
      <c r="E62" s="24" t="str">
        <f>IF($A62="","",INDEX('Raw Data'!$F$2:$F$251,MATCH($A62,'Raw Data'!$T$2:$T$251,0)))</f>
        <v>Laptop</v>
      </c>
      <c r="F62" s="24" t="str">
        <f>IF($A62="","",INDEX('Raw Data'!$G$2:$G$251,MATCH($A62,'Raw Data'!$T$2:$T$251,0)))</f>
        <v>Electronics</v>
      </c>
      <c r="G62" s="24" t="str">
        <f>IF($A62="","",INDEX('Raw Data'!$K$2:$K$251,MATCH($A62,'Raw Data'!$T$2:$T$251,0)))</f>
        <v>Central</v>
      </c>
      <c r="H62" s="26">
        <f>IF($A62="","",INDEX('Raw Data'!$H$2:$H$251,MATCH($A62,'Raw Data'!$T$2:$T$251,0)))</f>
        <v>3</v>
      </c>
      <c r="I62" s="38">
        <f>IF($A62="","",INDEX('Raw Data'!$N$2:$N$251,MATCH($A62,'Raw Data'!$T$2:$T$251,0)))</f>
        <v>2699.97</v>
      </c>
    </row>
    <row r="63" spans="1:9" x14ac:dyDescent="0.25">
      <c r="A63" s="23">
        <f>IF(54&lt;=$C$7,54,"")</f>
        <v>54</v>
      </c>
      <c r="B63" s="24" t="str">
        <f>IF($A63="","",INDEX('Raw Data'!$A$2:$A$251,MATCH($A63,'Raw Data'!$T$2:$T$251,0)))</f>
        <v>TRX0120</v>
      </c>
      <c r="C63" s="46">
        <f>IF($A63="","",INDEX('Raw Data'!$B$2:$B$251,MATCH($A63,'Raw Data'!$T$2:$T$251,0)))</f>
        <v>45758</v>
      </c>
      <c r="D63" s="24" t="str">
        <f>IF($A63="","",INDEX('Raw Data'!$D$2:$D$251,MATCH($A63,'Raw Data'!$T$2:$T$251,0)))</f>
        <v>Douglas Watson</v>
      </c>
      <c r="E63" s="24" t="str">
        <f>IF($A63="","",INDEX('Raw Data'!$F$2:$F$251,MATCH($A63,'Raw Data'!$T$2:$T$251,0)))</f>
        <v>Smartphone</v>
      </c>
      <c r="F63" s="24" t="str">
        <f>IF($A63="","",INDEX('Raw Data'!$G$2:$G$251,MATCH($A63,'Raw Data'!$T$2:$T$251,0)))</f>
        <v>Electronics</v>
      </c>
      <c r="G63" s="24" t="str">
        <f>IF($A63="","",INDEX('Raw Data'!$K$2:$K$251,MATCH($A63,'Raw Data'!$T$2:$T$251,0)))</f>
        <v>North</v>
      </c>
      <c r="H63" s="26">
        <f>IF($A63="","",INDEX('Raw Data'!$H$2:$H$251,MATCH($A63,'Raw Data'!$T$2:$T$251,0)))</f>
        <v>3</v>
      </c>
      <c r="I63" s="38">
        <f>IF($A63="","",INDEX('Raw Data'!$N$2:$N$251,MATCH($A63,'Raw Data'!$T$2:$T$251,0)))</f>
        <v>2099.9699999999998</v>
      </c>
    </row>
    <row r="64" spans="1:9" x14ac:dyDescent="0.25">
      <c r="A64" s="23" t="str">
        <f>IF(55&lt;=$C$7,55,"")</f>
        <v/>
      </c>
      <c r="B64" s="24" t="str">
        <f>IF($A64="","",INDEX('Raw Data'!$A$2:$A$251,MATCH($A64,'Raw Data'!$T$2:$T$251,0)))</f>
        <v/>
      </c>
      <c r="C64" s="46" t="str">
        <f>IF($A64="","",INDEX('Raw Data'!$B$2:$B$251,MATCH($A64,'Raw Data'!$T$2:$T$251,0)))</f>
        <v/>
      </c>
      <c r="D64" s="24" t="str">
        <f>IF($A64="","",INDEX('Raw Data'!$D$2:$D$251,MATCH($A64,'Raw Data'!$T$2:$T$251,0)))</f>
        <v/>
      </c>
      <c r="E64" s="24" t="str">
        <f>IF($A64="","",INDEX('Raw Data'!$F$2:$F$251,MATCH($A64,'Raw Data'!$T$2:$T$251,0)))</f>
        <v/>
      </c>
      <c r="F64" s="24" t="str">
        <f>IF($A64="","",INDEX('Raw Data'!$G$2:$G$251,MATCH($A64,'Raw Data'!$T$2:$T$251,0)))</f>
        <v/>
      </c>
      <c r="G64" s="24" t="str">
        <f>IF($A64="","",INDEX('Raw Data'!$K$2:$K$251,MATCH($A64,'Raw Data'!$T$2:$T$251,0)))</f>
        <v/>
      </c>
      <c r="H64" s="26" t="str">
        <f>IF($A64="","",INDEX('Raw Data'!$H$2:$H$251,MATCH($A64,'Raw Data'!$T$2:$T$251,0)))</f>
        <v/>
      </c>
      <c r="I64" s="38" t="str">
        <f>IF($A64="","",INDEX('Raw Data'!$N$2:$N$251,MATCH($A64,'Raw Data'!$T$2:$T$251,0)))</f>
        <v/>
      </c>
    </row>
    <row r="65" spans="1:9" x14ac:dyDescent="0.25">
      <c r="A65" s="23" t="str">
        <f>IF(56&lt;=$C$7,56,"")</f>
        <v/>
      </c>
      <c r="B65" s="24" t="str">
        <f>IF($A65="","",INDEX('Raw Data'!$A$2:$A$251,MATCH($A65,'Raw Data'!$T$2:$T$251,0)))</f>
        <v/>
      </c>
      <c r="C65" s="46" t="str">
        <f>IF($A65="","",INDEX('Raw Data'!$B$2:$B$251,MATCH($A65,'Raw Data'!$T$2:$T$251,0)))</f>
        <v/>
      </c>
      <c r="D65" s="24" t="str">
        <f>IF($A65="","",INDEX('Raw Data'!$D$2:$D$251,MATCH($A65,'Raw Data'!$T$2:$T$251,0)))</f>
        <v/>
      </c>
      <c r="E65" s="24" t="str">
        <f>IF($A65="","",INDEX('Raw Data'!$F$2:$F$251,MATCH($A65,'Raw Data'!$T$2:$T$251,0)))</f>
        <v/>
      </c>
      <c r="F65" s="24" t="str">
        <f>IF($A65="","",INDEX('Raw Data'!$G$2:$G$251,MATCH($A65,'Raw Data'!$T$2:$T$251,0)))</f>
        <v/>
      </c>
      <c r="G65" s="24" t="str">
        <f>IF($A65="","",INDEX('Raw Data'!$K$2:$K$251,MATCH($A65,'Raw Data'!$T$2:$T$251,0)))</f>
        <v/>
      </c>
      <c r="H65" s="26" t="str">
        <f>IF($A65="","",INDEX('Raw Data'!$H$2:$H$251,MATCH($A65,'Raw Data'!$T$2:$T$251,0)))</f>
        <v/>
      </c>
      <c r="I65" s="38" t="str">
        <f>IF($A65="","",INDEX('Raw Data'!$N$2:$N$251,MATCH($A65,'Raw Data'!$T$2:$T$251,0)))</f>
        <v/>
      </c>
    </row>
    <row r="66" spans="1:9" x14ac:dyDescent="0.25">
      <c r="A66" s="23" t="str">
        <f>IF(57&lt;=$C$7,57,"")</f>
        <v/>
      </c>
      <c r="B66" s="24" t="str">
        <f>IF($A66="","",INDEX('Raw Data'!$A$2:$A$251,MATCH($A66,'Raw Data'!$T$2:$T$251,0)))</f>
        <v/>
      </c>
      <c r="C66" s="46" t="str">
        <f>IF($A66="","",INDEX('Raw Data'!$B$2:$B$251,MATCH($A66,'Raw Data'!$T$2:$T$251,0)))</f>
        <v/>
      </c>
      <c r="D66" s="24" t="str">
        <f>IF($A66="","",INDEX('Raw Data'!$D$2:$D$251,MATCH($A66,'Raw Data'!$T$2:$T$251,0)))</f>
        <v/>
      </c>
      <c r="E66" s="24" t="str">
        <f>IF($A66="","",INDEX('Raw Data'!$F$2:$F$251,MATCH($A66,'Raw Data'!$T$2:$T$251,0)))</f>
        <v/>
      </c>
      <c r="F66" s="24" t="str">
        <f>IF($A66="","",INDEX('Raw Data'!$G$2:$G$251,MATCH($A66,'Raw Data'!$T$2:$T$251,0)))</f>
        <v/>
      </c>
      <c r="G66" s="24" t="str">
        <f>IF($A66="","",INDEX('Raw Data'!$K$2:$K$251,MATCH($A66,'Raw Data'!$T$2:$T$251,0)))</f>
        <v/>
      </c>
      <c r="H66" s="26" t="str">
        <f>IF($A66="","",INDEX('Raw Data'!$H$2:$H$251,MATCH($A66,'Raw Data'!$T$2:$T$251,0)))</f>
        <v/>
      </c>
      <c r="I66" s="38" t="str">
        <f>IF($A66="","",INDEX('Raw Data'!$N$2:$N$251,MATCH($A66,'Raw Data'!$T$2:$T$251,0)))</f>
        <v/>
      </c>
    </row>
    <row r="67" spans="1:9" x14ac:dyDescent="0.25">
      <c r="A67" s="23" t="str">
        <f>IF(58&lt;=$C$7,58,"")</f>
        <v/>
      </c>
      <c r="B67" s="24" t="str">
        <f>IF($A67="","",INDEX('Raw Data'!$A$2:$A$251,MATCH($A67,'Raw Data'!$T$2:$T$251,0)))</f>
        <v/>
      </c>
      <c r="C67" s="46" t="str">
        <f>IF($A67="","",INDEX('Raw Data'!$B$2:$B$251,MATCH($A67,'Raw Data'!$T$2:$T$251,0)))</f>
        <v/>
      </c>
      <c r="D67" s="24" t="str">
        <f>IF($A67="","",INDEX('Raw Data'!$D$2:$D$251,MATCH($A67,'Raw Data'!$T$2:$T$251,0)))</f>
        <v/>
      </c>
      <c r="E67" s="24" t="str">
        <f>IF($A67="","",INDEX('Raw Data'!$F$2:$F$251,MATCH($A67,'Raw Data'!$T$2:$T$251,0)))</f>
        <v/>
      </c>
      <c r="F67" s="24" t="str">
        <f>IF($A67="","",INDEX('Raw Data'!$G$2:$G$251,MATCH($A67,'Raw Data'!$T$2:$T$251,0)))</f>
        <v/>
      </c>
      <c r="G67" s="24" t="str">
        <f>IF($A67="","",INDEX('Raw Data'!$K$2:$K$251,MATCH($A67,'Raw Data'!$T$2:$T$251,0)))</f>
        <v/>
      </c>
      <c r="H67" s="26" t="str">
        <f>IF($A67="","",INDEX('Raw Data'!$H$2:$H$251,MATCH($A67,'Raw Data'!$T$2:$T$251,0)))</f>
        <v/>
      </c>
      <c r="I67" s="38" t="str">
        <f>IF($A67="","",INDEX('Raw Data'!$N$2:$N$251,MATCH($A67,'Raw Data'!$T$2:$T$251,0)))</f>
        <v/>
      </c>
    </row>
    <row r="68" spans="1:9" x14ac:dyDescent="0.25">
      <c r="A68" s="23" t="str">
        <f>IF(59&lt;=$C$7,59,"")</f>
        <v/>
      </c>
      <c r="B68" s="24" t="str">
        <f>IF($A68="","",INDEX('Raw Data'!$A$2:$A$251,MATCH($A68,'Raw Data'!$T$2:$T$251,0)))</f>
        <v/>
      </c>
      <c r="C68" s="46" t="str">
        <f>IF($A68="","",INDEX('Raw Data'!$B$2:$B$251,MATCH($A68,'Raw Data'!$T$2:$T$251,0)))</f>
        <v/>
      </c>
      <c r="D68" s="24" t="str">
        <f>IF($A68="","",INDEX('Raw Data'!$D$2:$D$251,MATCH($A68,'Raw Data'!$T$2:$T$251,0)))</f>
        <v/>
      </c>
      <c r="E68" s="24" t="str">
        <f>IF($A68="","",INDEX('Raw Data'!$F$2:$F$251,MATCH($A68,'Raw Data'!$T$2:$T$251,0)))</f>
        <v/>
      </c>
      <c r="F68" s="24" t="str">
        <f>IF($A68="","",INDEX('Raw Data'!$G$2:$G$251,MATCH($A68,'Raw Data'!$T$2:$T$251,0)))</f>
        <v/>
      </c>
      <c r="G68" s="24" t="str">
        <f>IF($A68="","",INDEX('Raw Data'!$K$2:$K$251,MATCH($A68,'Raw Data'!$T$2:$T$251,0)))</f>
        <v/>
      </c>
      <c r="H68" s="26" t="str">
        <f>IF($A68="","",INDEX('Raw Data'!$H$2:$H$251,MATCH($A68,'Raw Data'!$T$2:$T$251,0)))</f>
        <v/>
      </c>
      <c r="I68" s="38" t="str">
        <f>IF($A68="","",INDEX('Raw Data'!$N$2:$N$251,MATCH($A68,'Raw Data'!$T$2:$T$251,0)))</f>
        <v/>
      </c>
    </row>
    <row r="69" spans="1:9" x14ac:dyDescent="0.25">
      <c r="A69" s="23" t="str">
        <f>IF(60&lt;=$C$7,60,"")</f>
        <v/>
      </c>
      <c r="B69" s="24" t="str">
        <f>IF($A69="","",INDEX('Raw Data'!$A$2:$A$251,MATCH($A69,'Raw Data'!$T$2:$T$251,0)))</f>
        <v/>
      </c>
      <c r="C69" s="46" t="str">
        <f>IF($A69="","",INDEX('Raw Data'!$B$2:$B$251,MATCH($A69,'Raw Data'!$T$2:$T$251,0)))</f>
        <v/>
      </c>
      <c r="D69" s="24" t="str">
        <f>IF($A69="","",INDEX('Raw Data'!$D$2:$D$251,MATCH($A69,'Raw Data'!$T$2:$T$251,0)))</f>
        <v/>
      </c>
      <c r="E69" s="24" t="str">
        <f>IF($A69="","",INDEX('Raw Data'!$F$2:$F$251,MATCH($A69,'Raw Data'!$T$2:$T$251,0)))</f>
        <v/>
      </c>
      <c r="F69" s="24" t="str">
        <f>IF($A69="","",INDEX('Raw Data'!$G$2:$G$251,MATCH($A69,'Raw Data'!$T$2:$T$251,0)))</f>
        <v/>
      </c>
      <c r="G69" s="24" t="str">
        <f>IF($A69="","",INDEX('Raw Data'!$K$2:$K$251,MATCH($A69,'Raw Data'!$T$2:$T$251,0)))</f>
        <v/>
      </c>
      <c r="H69" s="26" t="str">
        <f>IF($A69="","",INDEX('Raw Data'!$H$2:$H$251,MATCH($A69,'Raw Data'!$T$2:$T$251,0)))</f>
        <v/>
      </c>
      <c r="I69" s="38" t="str">
        <f>IF($A69="","",INDEX('Raw Data'!$N$2:$N$251,MATCH($A69,'Raw Data'!$T$2:$T$251,0)))</f>
        <v/>
      </c>
    </row>
    <row r="70" spans="1:9" x14ac:dyDescent="0.25">
      <c r="A70" s="23" t="str">
        <f>IF(61&lt;=$C$7,61,"")</f>
        <v/>
      </c>
      <c r="B70" s="24" t="str">
        <f>IF($A70="","",INDEX('Raw Data'!$A$2:$A$251,MATCH($A70,'Raw Data'!$T$2:$T$251,0)))</f>
        <v/>
      </c>
      <c r="C70" s="46" t="str">
        <f>IF($A70="","",INDEX('Raw Data'!$B$2:$B$251,MATCH($A70,'Raw Data'!$T$2:$T$251,0)))</f>
        <v/>
      </c>
      <c r="D70" s="24" t="str">
        <f>IF($A70="","",INDEX('Raw Data'!$D$2:$D$251,MATCH($A70,'Raw Data'!$T$2:$T$251,0)))</f>
        <v/>
      </c>
      <c r="E70" s="24" t="str">
        <f>IF($A70="","",INDEX('Raw Data'!$F$2:$F$251,MATCH($A70,'Raw Data'!$T$2:$T$251,0)))</f>
        <v/>
      </c>
      <c r="F70" s="24" t="str">
        <f>IF($A70="","",INDEX('Raw Data'!$G$2:$G$251,MATCH($A70,'Raw Data'!$T$2:$T$251,0)))</f>
        <v/>
      </c>
      <c r="G70" s="24" t="str">
        <f>IF($A70="","",INDEX('Raw Data'!$K$2:$K$251,MATCH($A70,'Raw Data'!$T$2:$T$251,0)))</f>
        <v/>
      </c>
      <c r="H70" s="26" t="str">
        <f>IF($A70="","",INDEX('Raw Data'!$H$2:$H$251,MATCH($A70,'Raw Data'!$T$2:$T$251,0)))</f>
        <v/>
      </c>
      <c r="I70" s="38" t="str">
        <f>IF($A70="","",INDEX('Raw Data'!$N$2:$N$251,MATCH($A70,'Raw Data'!$T$2:$T$251,0)))</f>
        <v/>
      </c>
    </row>
    <row r="71" spans="1:9" x14ac:dyDescent="0.25">
      <c r="A71" s="23" t="str">
        <f>IF(62&lt;=$C$7,62,"")</f>
        <v/>
      </c>
      <c r="B71" s="24" t="str">
        <f>IF($A71="","",INDEX('Raw Data'!$A$2:$A$251,MATCH($A71,'Raw Data'!$T$2:$T$251,0)))</f>
        <v/>
      </c>
      <c r="C71" s="46" t="str">
        <f>IF($A71="","",INDEX('Raw Data'!$B$2:$B$251,MATCH($A71,'Raw Data'!$T$2:$T$251,0)))</f>
        <v/>
      </c>
      <c r="D71" s="24" t="str">
        <f>IF($A71="","",INDEX('Raw Data'!$D$2:$D$251,MATCH($A71,'Raw Data'!$T$2:$T$251,0)))</f>
        <v/>
      </c>
      <c r="E71" s="24" t="str">
        <f>IF($A71="","",INDEX('Raw Data'!$F$2:$F$251,MATCH($A71,'Raw Data'!$T$2:$T$251,0)))</f>
        <v/>
      </c>
      <c r="F71" s="24" t="str">
        <f>IF($A71="","",INDEX('Raw Data'!$G$2:$G$251,MATCH($A71,'Raw Data'!$T$2:$T$251,0)))</f>
        <v/>
      </c>
      <c r="G71" s="24" t="str">
        <f>IF($A71="","",INDEX('Raw Data'!$K$2:$K$251,MATCH($A71,'Raw Data'!$T$2:$T$251,0)))</f>
        <v/>
      </c>
      <c r="H71" s="26" t="str">
        <f>IF($A71="","",INDEX('Raw Data'!$H$2:$H$251,MATCH($A71,'Raw Data'!$T$2:$T$251,0)))</f>
        <v/>
      </c>
      <c r="I71" s="38" t="str">
        <f>IF($A71="","",INDEX('Raw Data'!$N$2:$N$251,MATCH($A71,'Raw Data'!$T$2:$T$251,0)))</f>
        <v/>
      </c>
    </row>
    <row r="72" spans="1:9" x14ac:dyDescent="0.25">
      <c r="A72" s="23" t="str">
        <f>IF(63&lt;=$C$7,63,"")</f>
        <v/>
      </c>
      <c r="B72" s="24" t="str">
        <f>IF($A72="","",INDEX('Raw Data'!$A$2:$A$251,MATCH($A72,'Raw Data'!$T$2:$T$251,0)))</f>
        <v/>
      </c>
      <c r="C72" s="46" t="str">
        <f>IF($A72="","",INDEX('Raw Data'!$B$2:$B$251,MATCH($A72,'Raw Data'!$T$2:$T$251,0)))</f>
        <v/>
      </c>
      <c r="D72" s="24" t="str">
        <f>IF($A72="","",INDEX('Raw Data'!$D$2:$D$251,MATCH($A72,'Raw Data'!$T$2:$T$251,0)))</f>
        <v/>
      </c>
      <c r="E72" s="24" t="str">
        <f>IF($A72="","",INDEX('Raw Data'!$F$2:$F$251,MATCH($A72,'Raw Data'!$T$2:$T$251,0)))</f>
        <v/>
      </c>
      <c r="F72" s="24" t="str">
        <f>IF($A72="","",INDEX('Raw Data'!$G$2:$G$251,MATCH($A72,'Raw Data'!$T$2:$T$251,0)))</f>
        <v/>
      </c>
      <c r="G72" s="24" t="str">
        <f>IF($A72="","",INDEX('Raw Data'!$K$2:$K$251,MATCH($A72,'Raw Data'!$T$2:$T$251,0)))</f>
        <v/>
      </c>
      <c r="H72" s="26" t="str">
        <f>IF($A72="","",INDEX('Raw Data'!$H$2:$H$251,MATCH($A72,'Raw Data'!$T$2:$T$251,0)))</f>
        <v/>
      </c>
      <c r="I72" s="38" t="str">
        <f>IF($A72="","",INDEX('Raw Data'!$N$2:$N$251,MATCH($A72,'Raw Data'!$T$2:$T$251,0)))</f>
        <v/>
      </c>
    </row>
    <row r="73" spans="1:9" x14ac:dyDescent="0.25">
      <c r="A73" s="23" t="str">
        <f>IF(64&lt;=$C$7,64,"")</f>
        <v/>
      </c>
      <c r="B73" s="24" t="str">
        <f>IF($A73="","",INDEX('Raw Data'!$A$2:$A$251,MATCH($A73,'Raw Data'!$T$2:$T$251,0)))</f>
        <v/>
      </c>
      <c r="C73" s="46" t="str">
        <f>IF($A73="","",INDEX('Raw Data'!$B$2:$B$251,MATCH($A73,'Raw Data'!$T$2:$T$251,0)))</f>
        <v/>
      </c>
      <c r="D73" s="24" t="str">
        <f>IF($A73="","",INDEX('Raw Data'!$D$2:$D$251,MATCH($A73,'Raw Data'!$T$2:$T$251,0)))</f>
        <v/>
      </c>
      <c r="E73" s="24" t="str">
        <f>IF($A73="","",INDEX('Raw Data'!$F$2:$F$251,MATCH($A73,'Raw Data'!$T$2:$T$251,0)))</f>
        <v/>
      </c>
      <c r="F73" s="24" t="str">
        <f>IF($A73="","",INDEX('Raw Data'!$G$2:$G$251,MATCH($A73,'Raw Data'!$T$2:$T$251,0)))</f>
        <v/>
      </c>
      <c r="G73" s="24" t="str">
        <f>IF($A73="","",INDEX('Raw Data'!$K$2:$K$251,MATCH($A73,'Raw Data'!$T$2:$T$251,0)))</f>
        <v/>
      </c>
      <c r="H73" s="26" t="str">
        <f>IF($A73="","",INDEX('Raw Data'!$H$2:$H$251,MATCH($A73,'Raw Data'!$T$2:$T$251,0)))</f>
        <v/>
      </c>
      <c r="I73" s="38" t="str">
        <f>IF($A73="","",INDEX('Raw Data'!$N$2:$N$251,MATCH($A73,'Raw Data'!$T$2:$T$251,0)))</f>
        <v/>
      </c>
    </row>
    <row r="74" spans="1:9" x14ac:dyDescent="0.25">
      <c r="A74" s="23" t="str">
        <f>IF(65&lt;=$C$7,65,"")</f>
        <v/>
      </c>
      <c r="B74" s="24" t="str">
        <f>IF($A74="","",INDEX('Raw Data'!$A$2:$A$251,MATCH($A74,'Raw Data'!$T$2:$T$251,0)))</f>
        <v/>
      </c>
      <c r="C74" s="46" t="str">
        <f>IF($A74="","",INDEX('Raw Data'!$B$2:$B$251,MATCH($A74,'Raw Data'!$T$2:$T$251,0)))</f>
        <v/>
      </c>
      <c r="D74" s="24" t="str">
        <f>IF($A74="","",INDEX('Raw Data'!$D$2:$D$251,MATCH($A74,'Raw Data'!$T$2:$T$251,0)))</f>
        <v/>
      </c>
      <c r="E74" s="24" t="str">
        <f>IF($A74="","",INDEX('Raw Data'!$F$2:$F$251,MATCH($A74,'Raw Data'!$T$2:$T$251,0)))</f>
        <v/>
      </c>
      <c r="F74" s="24" t="str">
        <f>IF($A74="","",INDEX('Raw Data'!$G$2:$G$251,MATCH($A74,'Raw Data'!$T$2:$T$251,0)))</f>
        <v/>
      </c>
      <c r="G74" s="24" t="str">
        <f>IF($A74="","",INDEX('Raw Data'!$K$2:$K$251,MATCH($A74,'Raw Data'!$T$2:$T$251,0)))</f>
        <v/>
      </c>
      <c r="H74" s="26" t="str">
        <f>IF($A74="","",INDEX('Raw Data'!$H$2:$H$251,MATCH($A74,'Raw Data'!$T$2:$T$251,0)))</f>
        <v/>
      </c>
      <c r="I74" s="38" t="str">
        <f>IF($A74="","",INDEX('Raw Data'!$N$2:$N$251,MATCH($A74,'Raw Data'!$T$2:$T$251,0)))</f>
        <v/>
      </c>
    </row>
    <row r="75" spans="1:9" x14ac:dyDescent="0.25">
      <c r="A75" s="23" t="str">
        <f>IF(66&lt;=$C$7,66,"")</f>
        <v/>
      </c>
      <c r="B75" s="24" t="str">
        <f>IF($A75="","",INDEX('Raw Data'!$A$2:$A$251,MATCH($A75,'Raw Data'!$T$2:$T$251,0)))</f>
        <v/>
      </c>
      <c r="C75" s="46" t="str">
        <f>IF($A75="","",INDEX('Raw Data'!$B$2:$B$251,MATCH($A75,'Raw Data'!$T$2:$T$251,0)))</f>
        <v/>
      </c>
      <c r="D75" s="24" t="str">
        <f>IF($A75="","",INDEX('Raw Data'!$D$2:$D$251,MATCH($A75,'Raw Data'!$T$2:$T$251,0)))</f>
        <v/>
      </c>
      <c r="E75" s="24" t="str">
        <f>IF($A75="","",INDEX('Raw Data'!$F$2:$F$251,MATCH($A75,'Raw Data'!$T$2:$T$251,0)))</f>
        <v/>
      </c>
      <c r="F75" s="24" t="str">
        <f>IF($A75="","",INDEX('Raw Data'!$G$2:$G$251,MATCH($A75,'Raw Data'!$T$2:$T$251,0)))</f>
        <v/>
      </c>
      <c r="G75" s="24" t="str">
        <f>IF($A75="","",INDEX('Raw Data'!$K$2:$K$251,MATCH($A75,'Raw Data'!$T$2:$T$251,0)))</f>
        <v/>
      </c>
      <c r="H75" s="26" t="str">
        <f>IF($A75="","",INDEX('Raw Data'!$H$2:$H$251,MATCH($A75,'Raw Data'!$T$2:$T$251,0)))</f>
        <v/>
      </c>
      <c r="I75" s="38" t="str">
        <f>IF($A75="","",INDEX('Raw Data'!$N$2:$N$251,MATCH($A75,'Raw Data'!$T$2:$T$251,0)))</f>
        <v/>
      </c>
    </row>
    <row r="76" spans="1:9" x14ac:dyDescent="0.25">
      <c r="A76" s="23" t="str">
        <f>IF(67&lt;=$C$7,67,"")</f>
        <v/>
      </c>
      <c r="B76" s="24" t="str">
        <f>IF($A76="","",INDEX('Raw Data'!$A$2:$A$251,MATCH($A76,'Raw Data'!$T$2:$T$251,0)))</f>
        <v/>
      </c>
      <c r="C76" s="46" t="str">
        <f>IF($A76="","",INDEX('Raw Data'!$B$2:$B$251,MATCH($A76,'Raw Data'!$T$2:$T$251,0)))</f>
        <v/>
      </c>
      <c r="D76" s="24" t="str">
        <f>IF($A76="","",INDEX('Raw Data'!$D$2:$D$251,MATCH($A76,'Raw Data'!$T$2:$T$251,0)))</f>
        <v/>
      </c>
      <c r="E76" s="24" t="str">
        <f>IF($A76="","",INDEX('Raw Data'!$F$2:$F$251,MATCH($A76,'Raw Data'!$T$2:$T$251,0)))</f>
        <v/>
      </c>
      <c r="F76" s="24" t="str">
        <f>IF($A76="","",INDEX('Raw Data'!$G$2:$G$251,MATCH($A76,'Raw Data'!$T$2:$T$251,0)))</f>
        <v/>
      </c>
      <c r="G76" s="24" t="str">
        <f>IF($A76="","",INDEX('Raw Data'!$K$2:$K$251,MATCH($A76,'Raw Data'!$T$2:$T$251,0)))</f>
        <v/>
      </c>
      <c r="H76" s="26" t="str">
        <f>IF($A76="","",INDEX('Raw Data'!$H$2:$H$251,MATCH($A76,'Raw Data'!$T$2:$T$251,0)))</f>
        <v/>
      </c>
      <c r="I76" s="38" t="str">
        <f>IF($A76="","",INDEX('Raw Data'!$N$2:$N$251,MATCH($A76,'Raw Data'!$T$2:$T$251,0)))</f>
        <v/>
      </c>
    </row>
    <row r="77" spans="1:9" x14ac:dyDescent="0.25">
      <c r="A77" s="23" t="str">
        <f>IF(68&lt;=$C$7,68,"")</f>
        <v/>
      </c>
      <c r="B77" s="24" t="str">
        <f>IF($A77="","",INDEX('Raw Data'!$A$2:$A$251,MATCH($A77,'Raw Data'!$T$2:$T$251,0)))</f>
        <v/>
      </c>
      <c r="C77" s="46" t="str">
        <f>IF($A77="","",INDEX('Raw Data'!$B$2:$B$251,MATCH($A77,'Raw Data'!$T$2:$T$251,0)))</f>
        <v/>
      </c>
      <c r="D77" s="24" t="str">
        <f>IF($A77="","",INDEX('Raw Data'!$D$2:$D$251,MATCH($A77,'Raw Data'!$T$2:$T$251,0)))</f>
        <v/>
      </c>
      <c r="E77" s="24" t="str">
        <f>IF($A77="","",INDEX('Raw Data'!$F$2:$F$251,MATCH($A77,'Raw Data'!$T$2:$T$251,0)))</f>
        <v/>
      </c>
      <c r="F77" s="24" t="str">
        <f>IF($A77="","",INDEX('Raw Data'!$G$2:$G$251,MATCH($A77,'Raw Data'!$T$2:$T$251,0)))</f>
        <v/>
      </c>
      <c r="G77" s="24" t="str">
        <f>IF($A77="","",INDEX('Raw Data'!$K$2:$K$251,MATCH($A77,'Raw Data'!$T$2:$T$251,0)))</f>
        <v/>
      </c>
      <c r="H77" s="26" t="str">
        <f>IF($A77="","",INDEX('Raw Data'!$H$2:$H$251,MATCH($A77,'Raw Data'!$T$2:$T$251,0)))</f>
        <v/>
      </c>
      <c r="I77" s="38" t="str">
        <f>IF($A77="","",INDEX('Raw Data'!$N$2:$N$251,MATCH($A77,'Raw Data'!$T$2:$T$251,0)))</f>
        <v/>
      </c>
    </row>
    <row r="78" spans="1:9" x14ac:dyDescent="0.25">
      <c r="A78" s="23" t="str">
        <f>IF(69&lt;=$C$7,69,"")</f>
        <v/>
      </c>
      <c r="B78" s="24" t="str">
        <f>IF($A78="","",INDEX('Raw Data'!$A$2:$A$251,MATCH($A78,'Raw Data'!$T$2:$T$251,0)))</f>
        <v/>
      </c>
      <c r="C78" s="46" t="str">
        <f>IF($A78="","",INDEX('Raw Data'!$B$2:$B$251,MATCH($A78,'Raw Data'!$T$2:$T$251,0)))</f>
        <v/>
      </c>
      <c r="D78" s="24" t="str">
        <f>IF($A78="","",INDEX('Raw Data'!$D$2:$D$251,MATCH($A78,'Raw Data'!$T$2:$T$251,0)))</f>
        <v/>
      </c>
      <c r="E78" s="24" t="str">
        <f>IF($A78="","",INDEX('Raw Data'!$F$2:$F$251,MATCH($A78,'Raw Data'!$T$2:$T$251,0)))</f>
        <v/>
      </c>
      <c r="F78" s="24" t="str">
        <f>IF($A78="","",INDEX('Raw Data'!$G$2:$G$251,MATCH($A78,'Raw Data'!$T$2:$T$251,0)))</f>
        <v/>
      </c>
      <c r="G78" s="24" t="str">
        <f>IF($A78="","",INDEX('Raw Data'!$K$2:$K$251,MATCH($A78,'Raw Data'!$T$2:$T$251,0)))</f>
        <v/>
      </c>
      <c r="H78" s="26" t="str">
        <f>IF($A78="","",INDEX('Raw Data'!$H$2:$H$251,MATCH($A78,'Raw Data'!$T$2:$T$251,0)))</f>
        <v/>
      </c>
      <c r="I78" s="38" t="str">
        <f>IF($A78="","",INDEX('Raw Data'!$N$2:$N$251,MATCH($A78,'Raw Data'!$T$2:$T$251,0)))</f>
        <v/>
      </c>
    </row>
    <row r="79" spans="1:9" x14ac:dyDescent="0.25">
      <c r="A79" s="23" t="str">
        <f>IF(70&lt;=$C$7,70,"")</f>
        <v/>
      </c>
      <c r="B79" s="24" t="str">
        <f>IF($A79="","",INDEX('Raw Data'!$A$2:$A$251,MATCH($A79,'Raw Data'!$T$2:$T$251,0)))</f>
        <v/>
      </c>
      <c r="C79" s="46" t="str">
        <f>IF($A79="","",INDEX('Raw Data'!$B$2:$B$251,MATCH($A79,'Raw Data'!$T$2:$T$251,0)))</f>
        <v/>
      </c>
      <c r="D79" s="24" t="str">
        <f>IF($A79="","",INDEX('Raw Data'!$D$2:$D$251,MATCH($A79,'Raw Data'!$T$2:$T$251,0)))</f>
        <v/>
      </c>
      <c r="E79" s="24" t="str">
        <f>IF($A79="","",INDEX('Raw Data'!$F$2:$F$251,MATCH($A79,'Raw Data'!$T$2:$T$251,0)))</f>
        <v/>
      </c>
      <c r="F79" s="24" t="str">
        <f>IF($A79="","",INDEX('Raw Data'!$G$2:$G$251,MATCH($A79,'Raw Data'!$T$2:$T$251,0)))</f>
        <v/>
      </c>
      <c r="G79" s="24" t="str">
        <f>IF($A79="","",INDEX('Raw Data'!$K$2:$K$251,MATCH($A79,'Raw Data'!$T$2:$T$251,0)))</f>
        <v/>
      </c>
      <c r="H79" s="26" t="str">
        <f>IF($A79="","",INDEX('Raw Data'!$H$2:$H$251,MATCH($A79,'Raw Data'!$T$2:$T$251,0)))</f>
        <v/>
      </c>
      <c r="I79" s="38" t="str">
        <f>IF($A79="","",INDEX('Raw Data'!$N$2:$N$251,MATCH($A79,'Raw Data'!$T$2:$T$251,0)))</f>
        <v/>
      </c>
    </row>
    <row r="80" spans="1:9" x14ac:dyDescent="0.25">
      <c r="A80" s="23" t="str">
        <f>IF(71&lt;=$C$7,71,"")</f>
        <v/>
      </c>
      <c r="B80" s="24" t="str">
        <f>IF($A80="","",INDEX('Raw Data'!$A$2:$A$251,MATCH($A80,'Raw Data'!$T$2:$T$251,0)))</f>
        <v/>
      </c>
      <c r="C80" s="46" t="str">
        <f>IF($A80="","",INDEX('Raw Data'!$B$2:$B$251,MATCH($A80,'Raw Data'!$T$2:$T$251,0)))</f>
        <v/>
      </c>
      <c r="D80" s="24" t="str">
        <f>IF($A80="","",INDEX('Raw Data'!$D$2:$D$251,MATCH($A80,'Raw Data'!$T$2:$T$251,0)))</f>
        <v/>
      </c>
      <c r="E80" s="24" t="str">
        <f>IF($A80="","",INDEX('Raw Data'!$F$2:$F$251,MATCH($A80,'Raw Data'!$T$2:$T$251,0)))</f>
        <v/>
      </c>
      <c r="F80" s="24" t="str">
        <f>IF($A80="","",INDEX('Raw Data'!$G$2:$G$251,MATCH($A80,'Raw Data'!$T$2:$T$251,0)))</f>
        <v/>
      </c>
      <c r="G80" s="24" t="str">
        <f>IF($A80="","",INDEX('Raw Data'!$K$2:$K$251,MATCH($A80,'Raw Data'!$T$2:$T$251,0)))</f>
        <v/>
      </c>
      <c r="H80" s="26" t="str">
        <f>IF($A80="","",INDEX('Raw Data'!$H$2:$H$251,MATCH($A80,'Raw Data'!$T$2:$T$251,0)))</f>
        <v/>
      </c>
      <c r="I80" s="38" t="str">
        <f>IF($A80="","",INDEX('Raw Data'!$N$2:$N$251,MATCH($A80,'Raw Data'!$T$2:$T$251,0)))</f>
        <v/>
      </c>
    </row>
    <row r="81" spans="1:9" x14ac:dyDescent="0.25">
      <c r="A81" s="23" t="str">
        <f>IF(72&lt;=$C$7,72,"")</f>
        <v/>
      </c>
      <c r="B81" s="24" t="str">
        <f>IF($A81="","",INDEX('Raw Data'!$A$2:$A$251,MATCH($A81,'Raw Data'!$T$2:$T$251,0)))</f>
        <v/>
      </c>
      <c r="C81" s="46" t="str">
        <f>IF($A81="","",INDEX('Raw Data'!$B$2:$B$251,MATCH($A81,'Raw Data'!$T$2:$T$251,0)))</f>
        <v/>
      </c>
      <c r="D81" s="24" t="str">
        <f>IF($A81="","",INDEX('Raw Data'!$D$2:$D$251,MATCH($A81,'Raw Data'!$T$2:$T$251,0)))</f>
        <v/>
      </c>
      <c r="E81" s="24" t="str">
        <f>IF($A81="","",INDEX('Raw Data'!$F$2:$F$251,MATCH($A81,'Raw Data'!$T$2:$T$251,0)))</f>
        <v/>
      </c>
      <c r="F81" s="24" t="str">
        <f>IF($A81="","",INDEX('Raw Data'!$G$2:$G$251,MATCH($A81,'Raw Data'!$T$2:$T$251,0)))</f>
        <v/>
      </c>
      <c r="G81" s="24" t="str">
        <f>IF($A81="","",INDEX('Raw Data'!$K$2:$K$251,MATCH($A81,'Raw Data'!$T$2:$T$251,0)))</f>
        <v/>
      </c>
      <c r="H81" s="26" t="str">
        <f>IF($A81="","",INDEX('Raw Data'!$H$2:$H$251,MATCH($A81,'Raw Data'!$T$2:$T$251,0)))</f>
        <v/>
      </c>
      <c r="I81" s="38" t="str">
        <f>IF($A81="","",INDEX('Raw Data'!$N$2:$N$251,MATCH($A81,'Raw Data'!$T$2:$T$251,0)))</f>
        <v/>
      </c>
    </row>
    <row r="82" spans="1:9" x14ac:dyDescent="0.25">
      <c r="A82" s="23" t="str">
        <f>IF(73&lt;=$C$7,73,"")</f>
        <v/>
      </c>
      <c r="B82" s="24" t="str">
        <f>IF($A82="","",INDEX('Raw Data'!$A$2:$A$251,MATCH($A82,'Raw Data'!$T$2:$T$251,0)))</f>
        <v/>
      </c>
      <c r="C82" s="46" t="str">
        <f>IF($A82="","",INDEX('Raw Data'!$B$2:$B$251,MATCH($A82,'Raw Data'!$T$2:$T$251,0)))</f>
        <v/>
      </c>
      <c r="D82" s="24" t="str">
        <f>IF($A82="","",INDEX('Raw Data'!$D$2:$D$251,MATCH($A82,'Raw Data'!$T$2:$T$251,0)))</f>
        <v/>
      </c>
      <c r="E82" s="24" t="str">
        <f>IF($A82="","",INDEX('Raw Data'!$F$2:$F$251,MATCH($A82,'Raw Data'!$T$2:$T$251,0)))</f>
        <v/>
      </c>
      <c r="F82" s="24" t="str">
        <f>IF($A82="","",INDEX('Raw Data'!$G$2:$G$251,MATCH($A82,'Raw Data'!$T$2:$T$251,0)))</f>
        <v/>
      </c>
      <c r="G82" s="24" t="str">
        <f>IF($A82="","",INDEX('Raw Data'!$K$2:$K$251,MATCH($A82,'Raw Data'!$T$2:$T$251,0)))</f>
        <v/>
      </c>
      <c r="H82" s="26" t="str">
        <f>IF($A82="","",INDEX('Raw Data'!$H$2:$H$251,MATCH($A82,'Raw Data'!$T$2:$T$251,0)))</f>
        <v/>
      </c>
      <c r="I82" s="38" t="str">
        <f>IF($A82="","",INDEX('Raw Data'!$N$2:$N$251,MATCH($A82,'Raw Data'!$T$2:$T$251,0)))</f>
        <v/>
      </c>
    </row>
    <row r="83" spans="1:9" x14ac:dyDescent="0.25">
      <c r="A83" s="23" t="str">
        <f>IF(74&lt;=$C$7,74,"")</f>
        <v/>
      </c>
      <c r="B83" s="24" t="str">
        <f>IF($A83="","",INDEX('Raw Data'!$A$2:$A$251,MATCH($A83,'Raw Data'!$T$2:$T$251,0)))</f>
        <v/>
      </c>
      <c r="C83" s="46" t="str">
        <f>IF($A83="","",INDEX('Raw Data'!$B$2:$B$251,MATCH($A83,'Raw Data'!$T$2:$T$251,0)))</f>
        <v/>
      </c>
      <c r="D83" s="24" t="str">
        <f>IF($A83="","",INDEX('Raw Data'!$D$2:$D$251,MATCH($A83,'Raw Data'!$T$2:$T$251,0)))</f>
        <v/>
      </c>
      <c r="E83" s="24" t="str">
        <f>IF($A83="","",INDEX('Raw Data'!$F$2:$F$251,MATCH($A83,'Raw Data'!$T$2:$T$251,0)))</f>
        <v/>
      </c>
      <c r="F83" s="24" t="str">
        <f>IF($A83="","",INDEX('Raw Data'!$G$2:$G$251,MATCH($A83,'Raw Data'!$T$2:$T$251,0)))</f>
        <v/>
      </c>
      <c r="G83" s="24" t="str">
        <f>IF($A83="","",INDEX('Raw Data'!$K$2:$K$251,MATCH($A83,'Raw Data'!$T$2:$T$251,0)))</f>
        <v/>
      </c>
      <c r="H83" s="26" t="str">
        <f>IF($A83="","",INDEX('Raw Data'!$H$2:$H$251,MATCH($A83,'Raw Data'!$T$2:$T$251,0)))</f>
        <v/>
      </c>
      <c r="I83" s="38" t="str">
        <f>IF($A83="","",INDEX('Raw Data'!$N$2:$N$251,MATCH($A83,'Raw Data'!$T$2:$T$251,0)))</f>
        <v/>
      </c>
    </row>
    <row r="84" spans="1:9" x14ac:dyDescent="0.25">
      <c r="A84" s="23" t="str">
        <f>IF(75&lt;=$C$7,75,"")</f>
        <v/>
      </c>
      <c r="B84" s="24" t="str">
        <f>IF($A84="","",INDEX('Raw Data'!$A$2:$A$251,MATCH($A84,'Raw Data'!$T$2:$T$251,0)))</f>
        <v/>
      </c>
      <c r="C84" s="46" t="str">
        <f>IF($A84="","",INDEX('Raw Data'!$B$2:$B$251,MATCH($A84,'Raw Data'!$T$2:$T$251,0)))</f>
        <v/>
      </c>
      <c r="D84" s="24" t="str">
        <f>IF($A84="","",INDEX('Raw Data'!$D$2:$D$251,MATCH($A84,'Raw Data'!$T$2:$T$251,0)))</f>
        <v/>
      </c>
      <c r="E84" s="24" t="str">
        <f>IF($A84="","",INDEX('Raw Data'!$F$2:$F$251,MATCH($A84,'Raw Data'!$T$2:$T$251,0)))</f>
        <v/>
      </c>
      <c r="F84" s="24" t="str">
        <f>IF($A84="","",INDEX('Raw Data'!$G$2:$G$251,MATCH($A84,'Raw Data'!$T$2:$T$251,0)))</f>
        <v/>
      </c>
      <c r="G84" s="24" t="str">
        <f>IF($A84="","",INDEX('Raw Data'!$K$2:$K$251,MATCH($A84,'Raw Data'!$T$2:$T$251,0)))</f>
        <v/>
      </c>
      <c r="H84" s="26" t="str">
        <f>IF($A84="","",INDEX('Raw Data'!$H$2:$H$251,MATCH($A84,'Raw Data'!$T$2:$T$251,0)))</f>
        <v/>
      </c>
      <c r="I84" s="38" t="str">
        <f>IF($A84="","",INDEX('Raw Data'!$N$2:$N$251,MATCH($A84,'Raw Data'!$T$2:$T$251,0)))</f>
        <v/>
      </c>
    </row>
    <row r="85" spans="1:9" x14ac:dyDescent="0.25">
      <c r="A85" s="23" t="str">
        <f>IF(76&lt;=$C$7,76,"")</f>
        <v/>
      </c>
      <c r="B85" s="24" t="str">
        <f>IF($A85="","",INDEX('Raw Data'!$A$2:$A$251,MATCH($A85,'Raw Data'!$T$2:$T$251,0)))</f>
        <v/>
      </c>
      <c r="C85" s="46" t="str">
        <f>IF($A85="","",INDEX('Raw Data'!$B$2:$B$251,MATCH($A85,'Raw Data'!$T$2:$T$251,0)))</f>
        <v/>
      </c>
      <c r="D85" s="24" t="str">
        <f>IF($A85="","",INDEX('Raw Data'!$D$2:$D$251,MATCH($A85,'Raw Data'!$T$2:$T$251,0)))</f>
        <v/>
      </c>
      <c r="E85" s="24" t="str">
        <f>IF($A85="","",INDEX('Raw Data'!$F$2:$F$251,MATCH($A85,'Raw Data'!$T$2:$T$251,0)))</f>
        <v/>
      </c>
      <c r="F85" s="24" t="str">
        <f>IF($A85="","",INDEX('Raw Data'!$G$2:$G$251,MATCH($A85,'Raw Data'!$T$2:$T$251,0)))</f>
        <v/>
      </c>
      <c r="G85" s="24" t="str">
        <f>IF($A85="","",INDEX('Raw Data'!$K$2:$K$251,MATCH($A85,'Raw Data'!$T$2:$T$251,0)))</f>
        <v/>
      </c>
      <c r="H85" s="26" t="str">
        <f>IF($A85="","",INDEX('Raw Data'!$H$2:$H$251,MATCH($A85,'Raw Data'!$T$2:$T$251,0)))</f>
        <v/>
      </c>
      <c r="I85" s="38" t="str">
        <f>IF($A85="","",INDEX('Raw Data'!$N$2:$N$251,MATCH($A85,'Raw Data'!$T$2:$T$251,0)))</f>
        <v/>
      </c>
    </row>
    <row r="86" spans="1:9" x14ac:dyDescent="0.25">
      <c r="A86" s="23" t="str">
        <f>IF(77&lt;=$C$7,77,"")</f>
        <v/>
      </c>
      <c r="B86" s="24" t="str">
        <f>IF($A86="","",INDEX('Raw Data'!$A$2:$A$251,MATCH($A86,'Raw Data'!$T$2:$T$251,0)))</f>
        <v/>
      </c>
      <c r="C86" s="46" t="str">
        <f>IF($A86="","",INDEX('Raw Data'!$B$2:$B$251,MATCH($A86,'Raw Data'!$T$2:$T$251,0)))</f>
        <v/>
      </c>
      <c r="D86" s="24" t="str">
        <f>IF($A86="","",INDEX('Raw Data'!$D$2:$D$251,MATCH($A86,'Raw Data'!$T$2:$T$251,0)))</f>
        <v/>
      </c>
      <c r="E86" s="24" t="str">
        <f>IF($A86="","",INDEX('Raw Data'!$F$2:$F$251,MATCH($A86,'Raw Data'!$T$2:$T$251,0)))</f>
        <v/>
      </c>
      <c r="F86" s="24" t="str">
        <f>IF($A86="","",INDEX('Raw Data'!$G$2:$G$251,MATCH($A86,'Raw Data'!$T$2:$T$251,0)))</f>
        <v/>
      </c>
      <c r="G86" s="24" t="str">
        <f>IF($A86="","",INDEX('Raw Data'!$K$2:$K$251,MATCH($A86,'Raw Data'!$T$2:$T$251,0)))</f>
        <v/>
      </c>
      <c r="H86" s="26" t="str">
        <f>IF($A86="","",INDEX('Raw Data'!$H$2:$H$251,MATCH($A86,'Raw Data'!$T$2:$T$251,0)))</f>
        <v/>
      </c>
      <c r="I86" s="38" t="str">
        <f>IF($A86="","",INDEX('Raw Data'!$N$2:$N$251,MATCH($A86,'Raw Data'!$T$2:$T$251,0)))</f>
        <v/>
      </c>
    </row>
    <row r="87" spans="1:9" x14ac:dyDescent="0.25">
      <c r="A87" s="23" t="str">
        <f>IF(78&lt;=$C$7,78,"")</f>
        <v/>
      </c>
      <c r="B87" s="24" t="str">
        <f>IF($A87="","",INDEX('Raw Data'!$A$2:$A$251,MATCH($A87,'Raw Data'!$T$2:$T$251,0)))</f>
        <v/>
      </c>
      <c r="C87" s="46" t="str">
        <f>IF($A87="","",INDEX('Raw Data'!$B$2:$B$251,MATCH($A87,'Raw Data'!$T$2:$T$251,0)))</f>
        <v/>
      </c>
      <c r="D87" s="24" t="str">
        <f>IF($A87="","",INDEX('Raw Data'!$D$2:$D$251,MATCH($A87,'Raw Data'!$T$2:$T$251,0)))</f>
        <v/>
      </c>
      <c r="E87" s="24" t="str">
        <f>IF($A87="","",INDEX('Raw Data'!$F$2:$F$251,MATCH($A87,'Raw Data'!$T$2:$T$251,0)))</f>
        <v/>
      </c>
      <c r="F87" s="24" t="str">
        <f>IF($A87="","",INDEX('Raw Data'!$G$2:$G$251,MATCH($A87,'Raw Data'!$T$2:$T$251,0)))</f>
        <v/>
      </c>
      <c r="G87" s="24" t="str">
        <f>IF($A87="","",INDEX('Raw Data'!$K$2:$K$251,MATCH($A87,'Raw Data'!$T$2:$T$251,0)))</f>
        <v/>
      </c>
      <c r="H87" s="26" t="str">
        <f>IF($A87="","",INDEX('Raw Data'!$H$2:$H$251,MATCH($A87,'Raw Data'!$T$2:$T$251,0)))</f>
        <v/>
      </c>
      <c r="I87" s="38" t="str">
        <f>IF($A87="","",INDEX('Raw Data'!$N$2:$N$251,MATCH($A87,'Raw Data'!$T$2:$T$251,0)))</f>
        <v/>
      </c>
    </row>
    <row r="88" spans="1:9" x14ac:dyDescent="0.25">
      <c r="A88" s="23" t="str">
        <f>IF(79&lt;=$C$7,79,"")</f>
        <v/>
      </c>
      <c r="B88" s="24" t="str">
        <f>IF($A88="","",INDEX('Raw Data'!$A$2:$A$251,MATCH($A88,'Raw Data'!$T$2:$T$251,0)))</f>
        <v/>
      </c>
      <c r="C88" s="46" t="str">
        <f>IF($A88="","",INDEX('Raw Data'!$B$2:$B$251,MATCH($A88,'Raw Data'!$T$2:$T$251,0)))</f>
        <v/>
      </c>
      <c r="D88" s="24" t="str">
        <f>IF($A88="","",INDEX('Raw Data'!$D$2:$D$251,MATCH($A88,'Raw Data'!$T$2:$T$251,0)))</f>
        <v/>
      </c>
      <c r="E88" s="24" t="str">
        <f>IF($A88="","",INDEX('Raw Data'!$F$2:$F$251,MATCH($A88,'Raw Data'!$T$2:$T$251,0)))</f>
        <v/>
      </c>
      <c r="F88" s="24" t="str">
        <f>IF($A88="","",INDEX('Raw Data'!$G$2:$G$251,MATCH($A88,'Raw Data'!$T$2:$T$251,0)))</f>
        <v/>
      </c>
      <c r="G88" s="24" t="str">
        <f>IF($A88="","",INDEX('Raw Data'!$K$2:$K$251,MATCH($A88,'Raw Data'!$T$2:$T$251,0)))</f>
        <v/>
      </c>
      <c r="H88" s="26" t="str">
        <f>IF($A88="","",INDEX('Raw Data'!$H$2:$H$251,MATCH($A88,'Raw Data'!$T$2:$T$251,0)))</f>
        <v/>
      </c>
      <c r="I88" s="38" t="str">
        <f>IF($A88="","",INDEX('Raw Data'!$N$2:$N$251,MATCH($A88,'Raw Data'!$T$2:$T$251,0)))</f>
        <v/>
      </c>
    </row>
    <row r="89" spans="1:9" x14ac:dyDescent="0.25">
      <c r="A89" s="23" t="str">
        <f>IF(80&lt;=$C$7,80,"")</f>
        <v/>
      </c>
      <c r="B89" s="24" t="str">
        <f>IF($A89="","",INDEX('Raw Data'!$A$2:$A$251,MATCH($A89,'Raw Data'!$T$2:$T$251,0)))</f>
        <v/>
      </c>
      <c r="C89" s="46" t="str">
        <f>IF($A89="","",INDEX('Raw Data'!$B$2:$B$251,MATCH($A89,'Raw Data'!$T$2:$T$251,0)))</f>
        <v/>
      </c>
      <c r="D89" s="24" t="str">
        <f>IF($A89="","",INDEX('Raw Data'!$D$2:$D$251,MATCH($A89,'Raw Data'!$T$2:$T$251,0)))</f>
        <v/>
      </c>
      <c r="E89" s="24" t="str">
        <f>IF($A89="","",INDEX('Raw Data'!$F$2:$F$251,MATCH($A89,'Raw Data'!$T$2:$T$251,0)))</f>
        <v/>
      </c>
      <c r="F89" s="24" t="str">
        <f>IF($A89="","",INDEX('Raw Data'!$G$2:$G$251,MATCH($A89,'Raw Data'!$T$2:$T$251,0)))</f>
        <v/>
      </c>
      <c r="G89" s="24" t="str">
        <f>IF($A89="","",INDEX('Raw Data'!$K$2:$K$251,MATCH($A89,'Raw Data'!$T$2:$T$251,0)))</f>
        <v/>
      </c>
      <c r="H89" s="26" t="str">
        <f>IF($A89="","",INDEX('Raw Data'!$H$2:$H$251,MATCH($A89,'Raw Data'!$T$2:$T$251,0)))</f>
        <v/>
      </c>
      <c r="I89" s="38" t="str">
        <f>IF($A89="","",INDEX('Raw Data'!$N$2:$N$251,MATCH($A89,'Raw Data'!$T$2:$T$251,0)))</f>
        <v/>
      </c>
    </row>
    <row r="90" spans="1:9" x14ac:dyDescent="0.25">
      <c r="A90" s="23" t="str">
        <f>IF(81&lt;=$C$7,81,"")</f>
        <v/>
      </c>
      <c r="B90" s="24" t="str">
        <f>IF($A90="","",INDEX('Raw Data'!$A$2:$A$251,MATCH($A90,'Raw Data'!$T$2:$T$251,0)))</f>
        <v/>
      </c>
      <c r="C90" s="46" t="str">
        <f>IF($A90="","",INDEX('Raw Data'!$B$2:$B$251,MATCH($A90,'Raw Data'!$T$2:$T$251,0)))</f>
        <v/>
      </c>
      <c r="D90" s="24" t="str">
        <f>IF($A90="","",INDEX('Raw Data'!$D$2:$D$251,MATCH($A90,'Raw Data'!$T$2:$T$251,0)))</f>
        <v/>
      </c>
      <c r="E90" s="24" t="str">
        <f>IF($A90="","",INDEX('Raw Data'!$F$2:$F$251,MATCH($A90,'Raw Data'!$T$2:$T$251,0)))</f>
        <v/>
      </c>
      <c r="F90" s="24" t="str">
        <f>IF($A90="","",INDEX('Raw Data'!$G$2:$G$251,MATCH($A90,'Raw Data'!$T$2:$T$251,0)))</f>
        <v/>
      </c>
      <c r="G90" s="24" t="str">
        <f>IF($A90="","",INDEX('Raw Data'!$K$2:$K$251,MATCH($A90,'Raw Data'!$T$2:$T$251,0)))</f>
        <v/>
      </c>
      <c r="H90" s="26" t="str">
        <f>IF($A90="","",INDEX('Raw Data'!$H$2:$H$251,MATCH($A90,'Raw Data'!$T$2:$T$251,0)))</f>
        <v/>
      </c>
      <c r="I90" s="38" t="str">
        <f>IF($A90="","",INDEX('Raw Data'!$N$2:$N$251,MATCH($A90,'Raw Data'!$T$2:$T$251,0)))</f>
        <v/>
      </c>
    </row>
    <row r="91" spans="1:9" x14ac:dyDescent="0.25">
      <c r="A91" s="23" t="str">
        <f>IF(82&lt;=$C$7,82,"")</f>
        <v/>
      </c>
      <c r="B91" s="24" t="str">
        <f>IF($A91="","",INDEX('Raw Data'!$A$2:$A$251,MATCH($A91,'Raw Data'!$T$2:$T$251,0)))</f>
        <v/>
      </c>
      <c r="C91" s="46" t="str">
        <f>IF($A91="","",INDEX('Raw Data'!$B$2:$B$251,MATCH($A91,'Raw Data'!$T$2:$T$251,0)))</f>
        <v/>
      </c>
      <c r="D91" s="24" t="str">
        <f>IF($A91="","",INDEX('Raw Data'!$D$2:$D$251,MATCH($A91,'Raw Data'!$T$2:$T$251,0)))</f>
        <v/>
      </c>
      <c r="E91" s="24" t="str">
        <f>IF($A91="","",INDEX('Raw Data'!$F$2:$F$251,MATCH($A91,'Raw Data'!$T$2:$T$251,0)))</f>
        <v/>
      </c>
      <c r="F91" s="24" t="str">
        <f>IF($A91="","",INDEX('Raw Data'!$G$2:$G$251,MATCH($A91,'Raw Data'!$T$2:$T$251,0)))</f>
        <v/>
      </c>
      <c r="G91" s="24" t="str">
        <f>IF($A91="","",INDEX('Raw Data'!$K$2:$K$251,MATCH($A91,'Raw Data'!$T$2:$T$251,0)))</f>
        <v/>
      </c>
      <c r="H91" s="26" t="str">
        <f>IF($A91="","",INDEX('Raw Data'!$H$2:$H$251,MATCH($A91,'Raw Data'!$T$2:$T$251,0)))</f>
        <v/>
      </c>
      <c r="I91" s="38" t="str">
        <f>IF($A91="","",INDEX('Raw Data'!$N$2:$N$251,MATCH($A91,'Raw Data'!$T$2:$T$251,0)))</f>
        <v/>
      </c>
    </row>
    <row r="92" spans="1:9" x14ac:dyDescent="0.25">
      <c r="A92" s="23" t="str">
        <f>IF(83&lt;=$C$7,83,"")</f>
        <v/>
      </c>
      <c r="B92" s="24" t="str">
        <f>IF($A92="","",INDEX('Raw Data'!$A$2:$A$251,MATCH($A92,'Raw Data'!$T$2:$T$251,0)))</f>
        <v/>
      </c>
      <c r="C92" s="46" t="str">
        <f>IF($A92="","",INDEX('Raw Data'!$B$2:$B$251,MATCH($A92,'Raw Data'!$T$2:$T$251,0)))</f>
        <v/>
      </c>
      <c r="D92" s="24" t="str">
        <f>IF($A92="","",INDEX('Raw Data'!$D$2:$D$251,MATCH($A92,'Raw Data'!$T$2:$T$251,0)))</f>
        <v/>
      </c>
      <c r="E92" s="24" t="str">
        <f>IF($A92="","",INDEX('Raw Data'!$F$2:$F$251,MATCH($A92,'Raw Data'!$T$2:$T$251,0)))</f>
        <v/>
      </c>
      <c r="F92" s="24" t="str">
        <f>IF($A92="","",INDEX('Raw Data'!$G$2:$G$251,MATCH($A92,'Raw Data'!$T$2:$T$251,0)))</f>
        <v/>
      </c>
      <c r="G92" s="24" t="str">
        <f>IF($A92="","",INDEX('Raw Data'!$K$2:$K$251,MATCH($A92,'Raw Data'!$T$2:$T$251,0)))</f>
        <v/>
      </c>
      <c r="H92" s="26" t="str">
        <f>IF($A92="","",INDEX('Raw Data'!$H$2:$H$251,MATCH($A92,'Raw Data'!$T$2:$T$251,0)))</f>
        <v/>
      </c>
      <c r="I92" s="38" t="str">
        <f>IF($A92="","",INDEX('Raw Data'!$N$2:$N$251,MATCH($A92,'Raw Data'!$T$2:$T$251,0)))</f>
        <v/>
      </c>
    </row>
    <row r="93" spans="1:9" x14ac:dyDescent="0.25">
      <c r="A93" s="23" t="str">
        <f>IF(84&lt;=$C$7,84,"")</f>
        <v/>
      </c>
      <c r="B93" s="24" t="str">
        <f>IF($A93="","",INDEX('Raw Data'!$A$2:$A$251,MATCH($A93,'Raw Data'!$T$2:$T$251,0)))</f>
        <v/>
      </c>
      <c r="C93" s="46" t="str">
        <f>IF($A93="","",INDEX('Raw Data'!$B$2:$B$251,MATCH($A93,'Raw Data'!$T$2:$T$251,0)))</f>
        <v/>
      </c>
      <c r="D93" s="24" t="str">
        <f>IF($A93="","",INDEX('Raw Data'!$D$2:$D$251,MATCH($A93,'Raw Data'!$T$2:$T$251,0)))</f>
        <v/>
      </c>
      <c r="E93" s="24" t="str">
        <f>IF($A93="","",INDEX('Raw Data'!$F$2:$F$251,MATCH($A93,'Raw Data'!$T$2:$T$251,0)))</f>
        <v/>
      </c>
      <c r="F93" s="24" t="str">
        <f>IF($A93="","",INDEX('Raw Data'!$G$2:$G$251,MATCH($A93,'Raw Data'!$T$2:$T$251,0)))</f>
        <v/>
      </c>
      <c r="G93" s="24" t="str">
        <f>IF($A93="","",INDEX('Raw Data'!$K$2:$K$251,MATCH($A93,'Raw Data'!$T$2:$T$251,0)))</f>
        <v/>
      </c>
      <c r="H93" s="26" t="str">
        <f>IF($A93="","",INDEX('Raw Data'!$H$2:$H$251,MATCH($A93,'Raw Data'!$T$2:$T$251,0)))</f>
        <v/>
      </c>
      <c r="I93" s="38" t="str">
        <f>IF($A93="","",INDEX('Raw Data'!$N$2:$N$251,MATCH($A93,'Raw Data'!$T$2:$T$251,0)))</f>
        <v/>
      </c>
    </row>
    <row r="94" spans="1:9" x14ac:dyDescent="0.25">
      <c r="A94" s="23" t="str">
        <f>IF(85&lt;=$C$7,85,"")</f>
        <v/>
      </c>
      <c r="B94" s="24" t="str">
        <f>IF($A94="","",INDEX('Raw Data'!$A$2:$A$251,MATCH($A94,'Raw Data'!$T$2:$T$251,0)))</f>
        <v/>
      </c>
      <c r="C94" s="46" t="str">
        <f>IF($A94="","",INDEX('Raw Data'!$B$2:$B$251,MATCH($A94,'Raw Data'!$T$2:$T$251,0)))</f>
        <v/>
      </c>
      <c r="D94" s="24" t="str">
        <f>IF($A94="","",INDEX('Raw Data'!$D$2:$D$251,MATCH($A94,'Raw Data'!$T$2:$T$251,0)))</f>
        <v/>
      </c>
      <c r="E94" s="24" t="str">
        <f>IF($A94="","",INDEX('Raw Data'!$F$2:$F$251,MATCH($A94,'Raw Data'!$T$2:$T$251,0)))</f>
        <v/>
      </c>
      <c r="F94" s="24" t="str">
        <f>IF($A94="","",INDEX('Raw Data'!$G$2:$G$251,MATCH($A94,'Raw Data'!$T$2:$T$251,0)))</f>
        <v/>
      </c>
      <c r="G94" s="24" t="str">
        <f>IF($A94="","",INDEX('Raw Data'!$K$2:$K$251,MATCH($A94,'Raw Data'!$T$2:$T$251,0)))</f>
        <v/>
      </c>
      <c r="H94" s="26" t="str">
        <f>IF($A94="","",INDEX('Raw Data'!$H$2:$H$251,MATCH($A94,'Raw Data'!$T$2:$T$251,0)))</f>
        <v/>
      </c>
      <c r="I94" s="38" t="str">
        <f>IF($A94="","",INDEX('Raw Data'!$N$2:$N$251,MATCH($A94,'Raw Data'!$T$2:$T$251,0)))</f>
        <v/>
      </c>
    </row>
    <row r="95" spans="1:9" x14ac:dyDescent="0.25">
      <c r="A95" s="23" t="str">
        <f>IF(86&lt;=$C$7,86,"")</f>
        <v/>
      </c>
      <c r="B95" s="24" t="str">
        <f>IF($A95="","",INDEX('Raw Data'!$A$2:$A$251,MATCH($A95,'Raw Data'!$T$2:$T$251,0)))</f>
        <v/>
      </c>
      <c r="C95" s="46" t="str">
        <f>IF($A95="","",INDEX('Raw Data'!$B$2:$B$251,MATCH($A95,'Raw Data'!$T$2:$T$251,0)))</f>
        <v/>
      </c>
      <c r="D95" s="24" t="str">
        <f>IF($A95="","",INDEX('Raw Data'!$D$2:$D$251,MATCH($A95,'Raw Data'!$T$2:$T$251,0)))</f>
        <v/>
      </c>
      <c r="E95" s="24" t="str">
        <f>IF($A95="","",INDEX('Raw Data'!$F$2:$F$251,MATCH($A95,'Raw Data'!$T$2:$T$251,0)))</f>
        <v/>
      </c>
      <c r="F95" s="24" t="str">
        <f>IF($A95="","",INDEX('Raw Data'!$G$2:$G$251,MATCH($A95,'Raw Data'!$T$2:$T$251,0)))</f>
        <v/>
      </c>
      <c r="G95" s="24" t="str">
        <f>IF($A95="","",INDEX('Raw Data'!$K$2:$K$251,MATCH($A95,'Raw Data'!$T$2:$T$251,0)))</f>
        <v/>
      </c>
      <c r="H95" s="26" t="str">
        <f>IF($A95="","",INDEX('Raw Data'!$H$2:$H$251,MATCH($A95,'Raw Data'!$T$2:$T$251,0)))</f>
        <v/>
      </c>
      <c r="I95" s="38" t="str">
        <f>IF($A95="","",INDEX('Raw Data'!$N$2:$N$251,MATCH($A95,'Raw Data'!$T$2:$T$251,0)))</f>
        <v/>
      </c>
    </row>
    <row r="96" spans="1:9" x14ac:dyDescent="0.25">
      <c r="A96" s="23" t="str">
        <f>IF(87&lt;=$C$7,87,"")</f>
        <v/>
      </c>
      <c r="B96" s="24" t="str">
        <f>IF($A96="","",INDEX('Raw Data'!$A$2:$A$251,MATCH($A96,'Raw Data'!$T$2:$T$251,0)))</f>
        <v/>
      </c>
      <c r="C96" s="46" t="str">
        <f>IF($A96="","",INDEX('Raw Data'!$B$2:$B$251,MATCH($A96,'Raw Data'!$T$2:$T$251,0)))</f>
        <v/>
      </c>
      <c r="D96" s="24" t="str">
        <f>IF($A96="","",INDEX('Raw Data'!$D$2:$D$251,MATCH($A96,'Raw Data'!$T$2:$T$251,0)))</f>
        <v/>
      </c>
      <c r="E96" s="24" t="str">
        <f>IF($A96="","",INDEX('Raw Data'!$F$2:$F$251,MATCH($A96,'Raw Data'!$T$2:$T$251,0)))</f>
        <v/>
      </c>
      <c r="F96" s="24" t="str">
        <f>IF($A96="","",INDEX('Raw Data'!$G$2:$G$251,MATCH($A96,'Raw Data'!$T$2:$T$251,0)))</f>
        <v/>
      </c>
      <c r="G96" s="24" t="str">
        <f>IF($A96="","",INDEX('Raw Data'!$K$2:$K$251,MATCH($A96,'Raw Data'!$T$2:$T$251,0)))</f>
        <v/>
      </c>
      <c r="H96" s="26" t="str">
        <f>IF($A96="","",INDEX('Raw Data'!$H$2:$H$251,MATCH($A96,'Raw Data'!$T$2:$T$251,0)))</f>
        <v/>
      </c>
      <c r="I96" s="38" t="str">
        <f>IF($A96="","",INDEX('Raw Data'!$N$2:$N$251,MATCH($A96,'Raw Data'!$T$2:$T$251,0)))</f>
        <v/>
      </c>
    </row>
    <row r="97" spans="1:9" x14ac:dyDescent="0.25">
      <c r="A97" s="23" t="str">
        <f>IF(88&lt;=$C$7,88,"")</f>
        <v/>
      </c>
      <c r="B97" s="24" t="str">
        <f>IF($A97="","",INDEX('Raw Data'!$A$2:$A$251,MATCH($A97,'Raw Data'!$T$2:$T$251,0)))</f>
        <v/>
      </c>
      <c r="C97" s="46" t="str">
        <f>IF($A97="","",INDEX('Raw Data'!$B$2:$B$251,MATCH($A97,'Raw Data'!$T$2:$T$251,0)))</f>
        <v/>
      </c>
      <c r="D97" s="24" t="str">
        <f>IF($A97="","",INDEX('Raw Data'!$D$2:$D$251,MATCH($A97,'Raw Data'!$T$2:$T$251,0)))</f>
        <v/>
      </c>
      <c r="E97" s="24" t="str">
        <f>IF($A97="","",INDEX('Raw Data'!$F$2:$F$251,MATCH($A97,'Raw Data'!$T$2:$T$251,0)))</f>
        <v/>
      </c>
      <c r="F97" s="24" t="str">
        <f>IF($A97="","",INDEX('Raw Data'!$G$2:$G$251,MATCH($A97,'Raw Data'!$T$2:$T$251,0)))</f>
        <v/>
      </c>
      <c r="G97" s="24" t="str">
        <f>IF($A97="","",INDEX('Raw Data'!$K$2:$K$251,MATCH($A97,'Raw Data'!$T$2:$T$251,0)))</f>
        <v/>
      </c>
      <c r="H97" s="26" t="str">
        <f>IF($A97="","",INDEX('Raw Data'!$H$2:$H$251,MATCH($A97,'Raw Data'!$T$2:$T$251,0)))</f>
        <v/>
      </c>
      <c r="I97" s="38" t="str">
        <f>IF($A97="","",INDEX('Raw Data'!$N$2:$N$251,MATCH($A97,'Raw Data'!$T$2:$T$251,0)))</f>
        <v/>
      </c>
    </row>
    <row r="98" spans="1:9" x14ac:dyDescent="0.25">
      <c r="A98" s="23" t="str">
        <f>IF(89&lt;=$C$7,89,"")</f>
        <v/>
      </c>
      <c r="B98" s="24" t="str">
        <f>IF($A98="","",INDEX('Raw Data'!$A$2:$A$251,MATCH($A98,'Raw Data'!$T$2:$T$251,0)))</f>
        <v/>
      </c>
      <c r="C98" s="46" t="str">
        <f>IF($A98="","",INDEX('Raw Data'!$B$2:$B$251,MATCH($A98,'Raw Data'!$T$2:$T$251,0)))</f>
        <v/>
      </c>
      <c r="D98" s="24" t="str">
        <f>IF($A98="","",INDEX('Raw Data'!$D$2:$D$251,MATCH($A98,'Raw Data'!$T$2:$T$251,0)))</f>
        <v/>
      </c>
      <c r="E98" s="24" t="str">
        <f>IF($A98="","",INDEX('Raw Data'!$F$2:$F$251,MATCH($A98,'Raw Data'!$T$2:$T$251,0)))</f>
        <v/>
      </c>
      <c r="F98" s="24" t="str">
        <f>IF($A98="","",INDEX('Raw Data'!$G$2:$G$251,MATCH($A98,'Raw Data'!$T$2:$T$251,0)))</f>
        <v/>
      </c>
      <c r="G98" s="24" t="str">
        <f>IF($A98="","",INDEX('Raw Data'!$K$2:$K$251,MATCH($A98,'Raw Data'!$T$2:$T$251,0)))</f>
        <v/>
      </c>
      <c r="H98" s="26" t="str">
        <f>IF($A98="","",INDEX('Raw Data'!$H$2:$H$251,MATCH($A98,'Raw Data'!$T$2:$T$251,0)))</f>
        <v/>
      </c>
      <c r="I98" s="38" t="str">
        <f>IF($A98="","",INDEX('Raw Data'!$N$2:$N$251,MATCH($A98,'Raw Data'!$T$2:$T$251,0)))</f>
        <v/>
      </c>
    </row>
    <row r="99" spans="1:9" x14ac:dyDescent="0.25">
      <c r="A99" s="23" t="str">
        <f>IF(90&lt;=$C$7,90,"")</f>
        <v/>
      </c>
      <c r="B99" s="24" t="str">
        <f>IF($A99="","",INDEX('Raw Data'!$A$2:$A$251,MATCH($A99,'Raw Data'!$T$2:$T$251,0)))</f>
        <v/>
      </c>
      <c r="C99" s="46" t="str">
        <f>IF($A99="","",INDEX('Raw Data'!$B$2:$B$251,MATCH($A99,'Raw Data'!$T$2:$T$251,0)))</f>
        <v/>
      </c>
      <c r="D99" s="24" t="str">
        <f>IF($A99="","",INDEX('Raw Data'!$D$2:$D$251,MATCH($A99,'Raw Data'!$T$2:$T$251,0)))</f>
        <v/>
      </c>
      <c r="E99" s="24" t="str">
        <f>IF($A99="","",INDEX('Raw Data'!$F$2:$F$251,MATCH($A99,'Raw Data'!$T$2:$T$251,0)))</f>
        <v/>
      </c>
      <c r="F99" s="24" t="str">
        <f>IF($A99="","",INDEX('Raw Data'!$G$2:$G$251,MATCH($A99,'Raw Data'!$T$2:$T$251,0)))</f>
        <v/>
      </c>
      <c r="G99" s="24" t="str">
        <f>IF($A99="","",INDEX('Raw Data'!$K$2:$K$251,MATCH($A99,'Raw Data'!$T$2:$T$251,0)))</f>
        <v/>
      </c>
      <c r="H99" s="26" t="str">
        <f>IF($A99="","",INDEX('Raw Data'!$H$2:$H$251,MATCH($A99,'Raw Data'!$T$2:$T$251,0)))</f>
        <v/>
      </c>
      <c r="I99" s="38" t="str">
        <f>IF($A99="","",INDEX('Raw Data'!$N$2:$N$251,MATCH($A99,'Raw Data'!$T$2:$T$251,0)))</f>
        <v/>
      </c>
    </row>
    <row r="100" spans="1:9" x14ac:dyDescent="0.25">
      <c r="A100" s="23" t="str">
        <f>IF(91&lt;=$C$7,91,"")</f>
        <v/>
      </c>
      <c r="B100" s="24" t="str">
        <f>IF($A100="","",INDEX('Raw Data'!$A$2:$A$251,MATCH($A100,'Raw Data'!$T$2:$T$251,0)))</f>
        <v/>
      </c>
      <c r="C100" s="46" t="str">
        <f>IF($A100="","",INDEX('Raw Data'!$B$2:$B$251,MATCH($A100,'Raw Data'!$T$2:$T$251,0)))</f>
        <v/>
      </c>
      <c r="D100" s="24" t="str">
        <f>IF($A100="","",INDEX('Raw Data'!$D$2:$D$251,MATCH($A100,'Raw Data'!$T$2:$T$251,0)))</f>
        <v/>
      </c>
      <c r="E100" s="24" t="str">
        <f>IF($A100="","",INDEX('Raw Data'!$F$2:$F$251,MATCH($A100,'Raw Data'!$T$2:$T$251,0)))</f>
        <v/>
      </c>
      <c r="F100" s="24" t="str">
        <f>IF($A100="","",INDEX('Raw Data'!$G$2:$G$251,MATCH($A100,'Raw Data'!$T$2:$T$251,0)))</f>
        <v/>
      </c>
      <c r="G100" s="24" t="str">
        <f>IF($A100="","",INDEX('Raw Data'!$K$2:$K$251,MATCH($A100,'Raw Data'!$T$2:$T$251,0)))</f>
        <v/>
      </c>
      <c r="H100" s="26" t="str">
        <f>IF($A100="","",INDEX('Raw Data'!$H$2:$H$251,MATCH($A100,'Raw Data'!$T$2:$T$251,0)))</f>
        <v/>
      </c>
      <c r="I100" s="38" t="str">
        <f>IF($A100="","",INDEX('Raw Data'!$N$2:$N$251,MATCH($A100,'Raw Data'!$T$2:$T$251,0)))</f>
        <v/>
      </c>
    </row>
    <row r="101" spans="1:9" x14ac:dyDescent="0.25">
      <c r="A101" s="23" t="str">
        <f>IF(92&lt;=$C$7,92,"")</f>
        <v/>
      </c>
      <c r="B101" s="24" t="str">
        <f>IF($A101="","",INDEX('Raw Data'!$A$2:$A$251,MATCH($A101,'Raw Data'!$T$2:$T$251,0)))</f>
        <v/>
      </c>
      <c r="C101" s="46" t="str">
        <f>IF($A101="","",INDEX('Raw Data'!$B$2:$B$251,MATCH($A101,'Raw Data'!$T$2:$T$251,0)))</f>
        <v/>
      </c>
      <c r="D101" s="24" t="str">
        <f>IF($A101="","",INDEX('Raw Data'!$D$2:$D$251,MATCH($A101,'Raw Data'!$T$2:$T$251,0)))</f>
        <v/>
      </c>
      <c r="E101" s="24" t="str">
        <f>IF($A101="","",INDEX('Raw Data'!$F$2:$F$251,MATCH($A101,'Raw Data'!$T$2:$T$251,0)))</f>
        <v/>
      </c>
      <c r="F101" s="24" t="str">
        <f>IF($A101="","",INDEX('Raw Data'!$G$2:$G$251,MATCH($A101,'Raw Data'!$T$2:$T$251,0)))</f>
        <v/>
      </c>
      <c r="G101" s="24" t="str">
        <f>IF($A101="","",INDEX('Raw Data'!$K$2:$K$251,MATCH($A101,'Raw Data'!$T$2:$T$251,0)))</f>
        <v/>
      </c>
      <c r="H101" s="26" t="str">
        <f>IF($A101="","",INDEX('Raw Data'!$H$2:$H$251,MATCH($A101,'Raw Data'!$T$2:$T$251,0)))</f>
        <v/>
      </c>
      <c r="I101" s="38" t="str">
        <f>IF($A101="","",INDEX('Raw Data'!$N$2:$N$251,MATCH($A101,'Raw Data'!$T$2:$T$251,0)))</f>
        <v/>
      </c>
    </row>
    <row r="102" spans="1:9" x14ac:dyDescent="0.25">
      <c r="A102" s="23" t="str">
        <f>IF(93&lt;=$C$7,93,"")</f>
        <v/>
      </c>
      <c r="B102" s="24" t="str">
        <f>IF($A102="","",INDEX('Raw Data'!$A$2:$A$251,MATCH($A102,'Raw Data'!$T$2:$T$251,0)))</f>
        <v/>
      </c>
      <c r="C102" s="46" t="str">
        <f>IF($A102="","",INDEX('Raw Data'!$B$2:$B$251,MATCH($A102,'Raw Data'!$T$2:$T$251,0)))</f>
        <v/>
      </c>
      <c r="D102" s="24" t="str">
        <f>IF($A102="","",INDEX('Raw Data'!$D$2:$D$251,MATCH($A102,'Raw Data'!$T$2:$T$251,0)))</f>
        <v/>
      </c>
      <c r="E102" s="24" t="str">
        <f>IF($A102="","",INDEX('Raw Data'!$F$2:$F$251,MATCH($A102,'Raw Data'!$T$2:$T$251,0)))</f>
        <v/>
      </c>
      <c r="F102" s="24" t="str">
        <f>IF($A102="","",INDEX('Raw Data'!$G$2:$G$251,MATCH($A102,'Raw Data'!$T$2:$T$251,0)))</f>
        <v/>
      </c>
      <c r="G102" s="24" t="str">
        <f>IF($A102="","",INDEX('Raw Data'!$K$2:$K$251,MATCH($A102,'Raw Data'!$T$2:$T$251,0)))</f>
        <v/>
      </c>
      <c r="H102" s="26" t="str">
        <f>IF($A102="","",INDEX('Raw Data'!$H$2:$H$251,MATCH($A102,'Raw Data'!$T$2:$T$251,0)))</f>
        <v/>
      </c>
      <c r="I102" s="38" t="str">
        <f>IF($A102="","",INDEX('Raw Data'!$N$2:$N$251,MATCH($A102,'Raw Data'!$T$2:$T$251,0)))</f>
        <v/>
      </c>
    </row>
    <row r="103" spans="1:9" x14ac:dyDescent="0.25">
      <c r="A103" s="23" t="str">
        <f>IF(94&lt;=$C$7,94,"")</f>
        <v/>
      </c>
      <c r="B103" s="24" t="str">
        <f>IF($A103="","",INDEX('Raw Data'!$A$2:$A$251,MATCH($A103,'Raw Data'!$T$2:$T$251,0)))</f>
        <v/>
      </c>
      <c r="C103" s="46" t="str">
        <f>IF($A103="","",INDEX('Raw Data'!$B$2:$B$251,MATCH($A103,'Raw Data'!$T$2:$T$251,0)))</f>
        <v/>
      </c>
      <c r="D103" s="24" t="str">
        <f>IF($A103="","",INDEX('Raw Data'!$D$2:$D$251,MATCH($A103,'Raw Data'!$T$2:$T$251,0)))</f>
        <v/>
      </c>
      <c r="E103" s="24" t="str">
        <f>IF($A103="","",INDEX('Raw Data'!$F$2:$F$251,MATCH($A103,'Raw Data'!$T$2:$T$251,0)))</f>
        <v/>
      </c>
      <c r="F103" s="24" t="str">
        <f>IF($A103="","",INDEX('Raw Data'!$G$2:$G$251,MATCH($A103,'Raw Data'!$T$2:$T$251,0)))</f>
        <v/>
      </c>
      <c r="G103" s="24" t="str">
        <f>IF($A103="","",INDEX('Raw Data'!$K$2:$K$251,MATCH($A103,'Raw Data'!$T$2:$T$251,0)))</f>
        <v/>
      </c>
      <c r="H103" s="26" t="str">
        <f>IF($A103="","",INDEX('Raw Data'!$H$2:$H$251,MATCH($A103,'Raw Data'!$T$2:$T$251,0)))</f>
        <v/>
      </c>
      <c r="I103" s="38" t="str">
        <f>IF($A103="","",INDEX('Raw Data'!$N$2:$N$251,MATCH($A103,'Raw Data'!$T$2:$T$251,0)))</f>
        <v/>
      </c>
    </row>
    <row r="104" spans="1:9" x14ac:dyDescent="0.25">
      <c r="A104" s="23" t="str">
        <f>IF(95&lt;=$C$7,95,"")</f>
        <v/>
      </c>
      <c r="B104" s="24" t="str">
        <f>IF($A104="","",INDEX('Raw Data'!$A$2:$A$251,MATCH($A104,'Raw Data'!$T$2:$T$251,0)))</f>
        <v/>
      </c>
      <c r="C104" s="46" t="str">
        <f>IF($A104="","",INDEX('Raw Data'!$B$2:$B$251,MATCH($A104,'Raw Data'!$T$2:$T$251,0)))</f>
        <v/>
      </c>
      <c r="D104" s="24" t="str">
        <f>IF($A104="","",INDEX('Raw Data'!$D$2:$D$251,MATCH($A104,'Raw Data'!$T$2:$T$251,0)))</f>
        <v/>
      </c>
      <c r="E104" s="24" t="str">
        <f>IF($A104="","",INDEX('Raw Data'!$F$2:$F$251,MATCH($A104,'Raw Data'!$T$2:$T$251,0)))</f>
        <v/>
      </c>
      <c r="F104" s="24" t="str">
        <f>IF($A104="","",INDEX('Raw Data'!$G$2:$G$251,MATCH($A104,'Raw Data'!$T$2:$T$251,0)))</f>
        <v/>
      </c>
      <c r="G104" s="24" t="str">
        <f>IF($A104="","",INDEX('Raw Data'!$K$2:$K$251,MATCH($A104,'Raw Data'!$T$2:$T$251,0)))</f>
        <v/>
      </c>
      <c r="H104" s="26" t="str">
        <f>IF($A104="","",INDEX('Raw Data'!$H$2:$H$251,MATCH($A104,'Raw Data'!$T$2:$T$251,0)))</f>
        <v/>
      </c>
      <c r="I104" s="38" t="str">
        <f>IF($A104="","",INDEX('Raw Data'!$N$2:$N$251,MATCH($A104,'Raw Data'!$T$2:$T$251,0)))</f>
        <v/>
      </c>
    </row>
    <row r="105" spans="1:9" x14ac:dyDescent="0.25">
      <c r="A105" s="23" t="str">
        <f>IF(96&lt;=$C$7,96,"")</f>
        <v/>
      </c>
      <c r="B105" s="24" t="str">
        <f>IF($A105="","",INDEX('Raw Data'!$A$2:$A$251,MATCH($A105,'Raw Data'!$T$2:$T$251,0)))</f>
        <v/>
      </c>
      <c r="C105" s="46" t="str">
        <f>IF($A105="","",INDEX('Raw Data'!$B$2:$B$251,MATCH($A105,'Raw Data'!$T$2:$T$251,0)))</f>
        <v/>
      </c>
      <c r="D105" s="24" t="str">
        <f>IF($A105="","",INDEX('Raw Data'!$D$2:$D$251,MATCH($A105,'Raw Data'!$T$2:$T$251,0)))</f>
        <v/>
      </c>
      <c r="E105" s="24" t="str">
        <f>IF($A105="","",INDEX('Raw Data'!$F$2:$F$251,MATCH($A105,'Raw Data'!$T$2:$T$251,0)))</f>
        <v/>
      </c>
      <c r="F105" s="24" t="str">
        <f>IF($A105="","",INDEX('Raw Data'!$G$2:$G$251,MATCH($A105,'Raw Data'!$T$2:$T$251,0)))</f>
        <v/>
      </c>
      <c r="G105" s="24" t="str">
        <f>IF($A105="","",INDEX('Raw Data'!$K$2:$K$251,MATCH($A105,'Raw Data'!$T$2:$T$251,0)))</f>
        <v/>
      </c>
      <c r="H105" s="26" t="str">
        <f>IF($A105="","",INDEX('Raw Data'!$H$2:$H$251,MATCH($A105,'Raw Data'!$T$2:$T$251,0)))</f>
        <v/>
      </c>
      <c r="I105" s="38" t="str">
        <f>IF($A105="","",INDEX('Raw Data'!$N$2:$N$251,MATCH($A105,'Raw Data'!$T$2:$T$251,0)))</f>
        <v/>
      </c>
    </row>
    <row r="106" spans="1:9" x14ac:dyDescent="0.25">
      <c r="A106" s="23" t="str">
        <f>IF(97&lt;=$C$7,97,"")</f>
        <v/>
      </c>
      <c r="B106" s="24" t="str">
        <f>IF($A106="","",INDEX('Raw Data'!$A$2:$A$251,MATCH($A106,'Raw Data'!$T$2:$T$251,0)))</f>
        <v/>
      </c>
      <c r="C106" s="46" t="str">
        <f>IF($A106="","",INDEX('Raw Data'!$B$2:$B$251,MATCH($A106,'Raw Data'!$T$2:$T$251,0)))</f>
        <v/>
      </c>
      <c r="D106" s="24" t="str">
        <f>IF($A106="","",INDEX('Raw Data'!$D$2:$D$251,MATCH($A106,'Raw Data'!$T$2:$T$251,0)))</f>
        <v/>
      </c>
      <c r="E106" s="24" t="str">
        <f>IF($A106="","",INDEX('Raw Data'!$F$2:$F$251,MATCH($A106,'Raw Data'!$T$2:$T$251,0)))</f>
        <v/>
      </c>
      <c r="F106" s="24" t="str">
        <f>IF($A106="","",INDEX('Raw Data'!$G$2:$G$251,MATCH($A106,'Raw Data'!$T$2:$T$251,0)))</f>
        <v/>
      </c>
      <c r="G106" s="24" t="str">
        <f>IF($A106="","",INDEX('Raw Data'!$K$2:$K$251,MATCH($A106,'Raw Data'!$T$2:$T$251,0)))</f>
        <v/>
      </c>
      <c r="H106" s="26" t="str">
        <f>IF($A106="","",INDEX('Raw Data'!$H$2:$H$251,MATCH($A106,'Raw Data'!$T$2:$T$251,0)))</f>
        <v/>
      </c>
      <c r="I106" s="38" t="str">
        <f>IF($A106="","",INDEX('Raw Data'!$N$2:$N$251,MATCH($A106,'Raw Data'!$T$2:$T$251,0)))</f>
        <v/>
      </c>
    </row>
    <row r="107" spans="1:9" x14ac:dyDescent="0.25">
      <c r="A107" s="23" t="str">
        <f>IF(98&lt;=$C$7,98,"")</f>
        <v/>
      </c>
      <c r="B107" s="24" t="str">
        <f>IF($A107="","",INDEX('Raw Data'!$A$2:$A$251,MATCH($A107,'Raw Data'!$T$2:$T$251,0)))</f>
        <v/>
      </c>
      <c r="C107" s="46" t="str">
        <f>IF($A107="","",INDEX('Raw Data'!$B$2:$B$251,MATCH($A107,'Raw Data'!$T$2:$T$251,0)))</f>
        <v/>
      </c>
      <c r="D107" s="24" t="str">
        <f>IF($A107="","",INDEX('Raw Data'!$D$2:$D$251,MATCH($A107,'Raw Data'!$T$2:$T$251,0)))</f>
        <v/>
      </c>
      <c r="E107" s="24" t="str">
        <f>IF($A107="","",INDEX('Raw Data'!$F$2:$F$251,MATCH($A107,'Raw Data'!$T$2:$T$251,0)))</f>
        <v/>
      </c>
      <c r="F107" s="24" t="str">
        <f>IF($A107="","",INDEX('Raw Data'!$G$2:$G$251,MATCH($A107,'Raw Data'!$T$2:$T$251,0)))</f>
        <v/>
      </c>
      <c r="G107" s="24" t="str">
        <f>IF($A107="","",INDEX('Raw Data'!$K$2:$K$251,MATCH($A107,'Raw Data'!$T$2:$T$251,0)))</f>
        <v/>
      </c>
      <c r="H107" s="26" t="str">
        <f>IF($A107="","",INDEX('Raw Data'!$H$2:$H$251,MATCH($A107,'Raw Data'!$T$2:$T$251,0)))</f>
        <v/>
      </c>
      <c r="I107" s="38" t="str">
        <f>IF($A107="","",INDEX('Raw Data'!$N$2:$N$251,MATCH($A107,'Raw Data'!$T$2:$T$251,0)))</f>
        <v/>
      </c>
    </row>
    <row r="108" spans="1:9" x14ac:dyDescent="0.25">
      <c r="A108" s="23" t="str">
        <f>IF(99&lt;=$C$7,99,"")</f>
        <v/>
      </c>
      <c r="B108" s="24" t="str">
        <f>IF($A108="","",INDEX('Raw Data'!$A$2:$A$251,MATCH($A108,'Raw Data'!$T$2:$T$251,0)))</f>
        <v/>
      </c>
      <c r="C108" s="46" t="str">
        <f>IF($A108="","",INDEX('Raw Data'!$B$2:$B$251,MATCH($A108,'Raw Data'!$T$2:$T$251,0)))</f>
        <v/>
      </c>
      <c r="D108" s="24" t="str">
        <f>IF($A108="","",INDEX('Raw Data'!$D$2:$D$251,MATCH($A108,'Raw Data'!$T$2:$T$251,0)))</f>
        <v/>
      </c>
      <c r="E108" s="24" t="str">
        <f>IF($A108="","",INDEX('Raw Data'!$F$2:$F$251,MATCH($A108,'Raw Data'!$T$2:$T$251,0)))</f>
        <v/>
      </c>
      <c r="F108" s="24" t="str">
        <f>IF($A108="","",INDEX('Raw Data'!$G$2:$G$251,MATCH($A108,'Raw Data'!$T$2:$T$251,0)))</f>
        <v/>
      </c>
      <c r="G108" s="24" t="str">
        <f>IF($A108="","",INDEX('Raw Data'!$K$2:$K$251,MATCH($A108,'Raw Data'!$T$2:$T$251,0)))</f>
        <v/>
      </c>
      <c r="H108" s="26" t="str">
        <f>IF($A108="","",INDEX('Raw Data'!$H$2:$H$251,MATCH($A108,'Raw Data'!$T$2:$T$251,0)))</f>
        <v/>
      </c>
      <c r="I108" s="38" t="str">
        <f>IF($A108="","",INDEX('Raw Data'!$N$2:$N$251,MATCH($A108,'Raw Data'!$T$2:$T$251,0)))</f>
        <v/>
      </c>
    </row>
    <row r="109" spans="1:9" x14ac:dyDescent="0.25">
      <c r="A109" s="23" t="str">
        <f>IF(100&lt;=$C$7,100,"")</f>
        <v/>
      </c>
      <c r="B109" s="24" t="str">
        <f>IF($A109="","",INDEX('Raw Data'!$A$2:$A$251,MATCH($A109,'Raw Data'!$T$2:$T$251,0)))</f>
        <v/>
      </c>
      <c r="C109" s="46" t="str">
        <f>IF($A109="","",INDEX('Raw Data'!$B$2:$B$251,MATCH($A109,'Raw Data'!$T$2:$T$251,0)))</f>
        <v/>
      </c>
      <c r="D109" s="24" t="str">
        <f>IF($A109="","",INDEX('Raw Data'!$D$2:$D$251,MATCH($A109,'Raw Data'!$T$2:$T$251,0)))</f>
        <v/>
      </c>
      <c r="E109" s="24" t="str">
        <f>IF($A109="","",INDEX('Raw Data'!$F$2:$F$251,MATCH($A109,'Raw Data'!$T$2:$T$251,0)))</f>
        <v/>
      </c>
      <c r="F109" s="24" t="str">
        <f>IF($A109="","",INDEX('Raw Data'!$G$2:$G$251,MATCH($A109,'Raw Data'!$T$2:$T$251,0)))</f>
        <v/>
      </c>
      <c r="G109" s="24" t="str">
        <f>IF($A109="","",INDEX('Raw Data'!$K$2:$K$251,MATCH($A109,'Raw Data'!$T$2:$T$251,0)))</f>
        <v/>
      </c>
      <c r="H109" s="26" t="str">
        <f>IF($A109="","",INDEX('Raw Data'!$H$2:$H$251,MATCH($A109,'Raw Data'!$T$2:$T$251,0)))</f>
        <v/>
      </c>
      <c r="I109" s="38" t="str">
        <f>IF($A109="","",INDEX('Raw Data'!$N$2:$N$251,MATCH($A109,'Raw Data'!$T$2:$T$251,0)))</f>
        <v/>
      </c>
    </row>
    <row r="110" spans="1:9" x14ac:dyDescent="0.25">
      <c r="A110" s="23" t="str">
        <f>IF(101&lt;=$C$7,101,"")</f>
        <v/>
      </c>
      <c r="B110" s="24" t="str">
        <f>IF($A110="","",INDEX('Raw Data'!$A$2:$A$251,MATCH($A110,'Raw Data'!$T$2:$T$251,0)))</f>
        <v/>
      </c>
      <c r="C110" s="46" t="str">
        <f>IF($A110="","",INDEX('Raw Data'!$B$2:$B$251,MATCH($A110,'Raw Data'!$T$2:$T$251,0)))</f>
        <v/>
      </c>
      <c r="D110" s="24" t="str">
        <f>IF($A110="","",INDEX('Raw Data'!$D$2:$D$251,MATCH($A110,'Raw Data'!$T$2:$T$251,0)))</f>
        <v/>
      </c>
      <c r="E110" s="24" t="str">
        <f>IF($A110="","",INDEX('Raw Data'!$F$2:$F$251,MATCH($A110,'Raw Data'!$T$2:$T$251,0)))</f>
        <v/>
      </c>
      <c r="F110" s="24" t="str">
        <f>IF($A110="","",INDEX('Raw Data'!$G$2:$G$251,MATCH($A110,'Raw Data'!$T$2:$T$251,0)))</f>
        <v/>
      </c>
      <c r="G110" s="24" t="str">
        <f>IF($A110="","",INDEX('Raw Data'!$K$2:$K$251,MATCH($A110,'Raw Data'!$T$2:$T$251,0)))</f>
        <v/>
      </c>
      <c r="H110" s="26" t="str">
        <f>IF($A110="","",INDEX('Raw Data'!$H$2:$H$251,MATCH($A110,'Raw Data'!$T$2:$T$251,0)))</f>
        <v/>
      </c>
      <c r="I110" s="38" t="str">
        <f>IF($A110="","",INDEX('Raw Data'!$N$2:$N$251,MATCH($A110,'Raw Data'!$T$2:$T$251,0)))</f>
        <v/>
      </c>
    </row>
    <row r="111" spans="1:9" x14ac:dyDescent="0.25">
      <c r="A111" s="23" t="str">
        <f>IF(102&lt;=$C$7,102,"")</f>
        <v/>
      </c>
      <c r="B111" s="24" t="str">
        <f>IF($A111="","",INDEX('Raw Data'!$A$2:$A$251,MATCH($A111,'Raw Data'!$T$2:$T$251,0)))</f>
        <v/>
      </c>
      <c r="C111" s="46" t="str">
        <f>IF($A111="","",INDEX('Raw Data'!$B$2:$B$251,MATCH($A111,'Raw Data'!$T$2:$T$251,0)))</f>
        <v/>
      </c>
      <c r="D111" s="24" t="str">
        <f>IF($A111="","",INDEX('Raw Data'!$D$2:$D$251,MATCH($A111,'Raw Data'!$T$2:$T$251,0)))</f>
        <v/>
      </c>
      <c r="E111" s="24" t="str">
        <f>IF($A111="","",INDEX('Raw Data'!$F$2:$F$251,MATCH($A111,'Raw Data'!$T$2:$T$251,0)))</f>
        <v/>
      </c>
      <c r="F111" s="24" t="str">
        <f>IF($A111="","",INDEX('Raw Data'!$G$2:$G$251,MATCH($A111,'Raw Data'!$T$2:$T$251,0)))</f>
        <v/>
      </c>
      <c r="G111" s="24" t="str">
        <f>IF($A111="","",INDEX('Raw Data'!$K$2:$K$251,MATCH($A111,'Raw Data'!$T$2:$T$251,0)))</f>
        <v/>
      </c>
      <c r="H111" s="26" t="str">
        <f>IF($A111="","",INDEX('Raw Data'!$H$2:$H$251,MATCH($A111,'Raw Data'!$T$2:$T$251,0)))</f>
        <v/>
      </c>
      <c r="I111" s="38" t="str">
        <f>IF($A111="","",INDEX('Raw Data'!$N$2:$N$251,MATCH($A111,'Raw Data'!$T$2:$T$251,0)))</f>
        <v/>
      </c>
    </row>
    <row r="112" spans="1:9" x14ac:dyDescent="0.25">
      <c r="A112" s="23" t="str">
        <f>IF(103&lt;=$C$7,103,"")</f>
        <v/>
      </c>
      <c r="B112" s="24" t="str">
        <f>IF($A112="","",INDEX('Raw Data'!$A$2:$A$251,MATCH($A112,'Raw Data'!$T$2:$T$251,0)))</f>
        <v/>
      </c>
      <c r="C112" s="46" t="str">
        <f>IF($A112="","",INDEX('Raw Data'!$B$2:$B$251,MATCH($A112,'Raw Data'!$T$2:$T$251,0)))</f>
        <v/>
      </c>
      <c r="D112" s="24" t="str">
        <f>IF($A112="","",INDEX('Raw Data'!$D$2:$D$251,MATCH($A112,'Raw Data'!$T$2:$T$251,0)))</f>
        <v/>
      </c>
      <c r="E112" s="24" t="str">
        <f>IF($A112="","",INDEX('Raw Data'!$F$2:$F$251,MATCH($A112,'Raw Data'!$T$2:$T$251,0)))</f>
        <v/>
      </c>
      <c r="F112" s="24" t="str">
        <f>IF($A112="","",INDEX('Raw Data'!$G$2:$G$251,MATCH($A112,'Raw Data'!$T$2:$T$251,0)))</f>
        <v/>
      </c>
      <c r="G112" s="24" t="str">
        <f>IF($A112="","",INDEX('Raw Data'!$K$2:$K$251,MATCH($A112,'Raw Data'!$T$2:$T$251,0)))</f>
        <v/>
      </c>
      <c r="H112" s="26" t="str">
        <f>IF($A112="","",INDEX('Raw Data'!$H$2:$H$251,MATCH($A112,'Raw Data'!$T$2:$T$251,0)))</f>
        <v/>
      </c>
      <c r="I112" s="38" t="str">
        <f>IF($A112="","",INDEX('Raw Data'!$N$2:$N$251,MATCH($A112,'Raw Data'!$T$2:$T$251,0)))</f>
        <v/>
      </c>
    </row>
    <row r="113" spans="1:9" x14ac:dyDescent="0.25">
      <c r="A113" s="23" t="str">
        <f>IF(104&lt;=$C$7,104,"")</f>
        <v/>
      </c>
      <c r="B113" s="24" t="str">
        <f>IF($A113="","",INDEX('Raw Data'!$A$2:$A$251,MATCH($A113,'Raw Data'!$T$2:$T$251,0)))</f>
        <v/>
      </c>
      <c r="C113" s="46" t="str">
        <f>IF($A113="","",INDEX('Raw Data'!$B$2:$B$251,MATCH($A113,'Raw Data'!$T$2:$T$251,0)))</f>
        <v/>
      </c>
      <c r="D113" s="24" t="str">
        <f>IF($A113="","",INDEX('Raw Data'!$D$2:$D$251,MATCH($A113,'Raw Data'!$T$2:$T$251,0)))</f>
        <v/>
      </c>
      <c r="E113" s="24" t="str">
        <f>IF($A113="","",INDEX('Raw Data'!$F$2:$F$251,MATCH($A113,'Raw Data'!$T$2:$T$251,0)))</f>
        <v/>
      </c>
      <c r="F113" s="24" t="str">
        <f>IF($A113="","",INDEX('Raw Data'!$G$2:$G$251,MATCH($A113,'Raw Data'!$T$2:$T$251,0)))</f>
        <v/>
      </c>
      <c r="G113" s="24" t="str">
        <f>IF($A113="","",INDEX('Raw Data'!$K$2:$K$251,MATCH($A113,'Raw Data'!$T$2:$T$251,0)))</f>
        <v/>
      </c>
      <c r="H113" s="26" t="str">
        <f>IF($A113="","",INDEX('Raw Data'!$H$2:$H$251,MATCH($A113,'Raw Data'!$T$2:$T$251,0)))</f>
        <v/>
      </c>
      <c r="I113" s="38" t="str">
        <f>IF($A113="","",INDEX('Raw Data'!$N$2:$N$251,MATCH($A113,'Raw Data'!$T$2:$T$251,0)))</f>
        <v/>
      </c>
    </row>
    <row r="114" spans="1:9" x14ac:dyDescent="0.25">
      <c r="A114" s="23" t="str">
        <f>IF(105&lt;=$C$7,105,"")</f>
        <v/>
      </c>
      <c r="B114" s="24" t="str">
        <f>IF($A114="","",INDEX('Raw Data'!$A$2:$A$251,MATCH($A114,'Raw Data'!$T$2:$T$251,0)))</f>
        <v/>
      </c>
      <c r="C114" s="46" t="str">
        <f>IF($A114="","",INDEX('Raw Data'!$B$2:$B$251,MATCH($A114,'Raw Data'!$T$2:$T$251,0)))</f>
        <v/>
      </c>
      <c r="D114" s="24" t="str">
        <f>IF($A114="","",INDEX('Raw Data'!$D$2:$D$251,MATCH($A114,'Raw Data'!$T$2:$T$251,0)))</f>
        <v/>
      </c>
      <c r="E114" s="24" t="str">
        <f>IF($A114="","",INDEX('Raw Data'!$F$2:$F$251,MATCH($A114,'Raw Data'!$T$2:$T$251,0)))</f>
        <v/>
      </c>
      <c r="F114" s="24" t="str">
        <f>IF($A114="","",INDEX('Raw Data'!$G$2:$G$251,MATCH($A114,'Raw Data'!$T$2:$T$251,0)))</f>
        <v/>
      </c>
      <c r="G114" s="24" t="str">
        <f>IF($A114="","",INDEX('Raw Data'!$K$2:$K$251,MATCH($A114,'Raw Data'!$T$2:$T$251,0)))</f>
        <v/>
      </c>
      <c r="H114" s="26" t="str">
        <f>IF($A114="","",INDEX('Raw Data'!$H$2:$H$251,MATCH($A114,'Raw Data'!$T$2:$T$251,0)))</f>
        <v/>
      </c>
      <c r="I114" s="38" t="str">
        <f>IF($A114="","",INDEX('Raw Data'!$N$2:$N$251,MATCH($A114,'Raw Data'!$T$2:$T$251,0)))</f>
        <v/>
      </c>
    </row>
    <row r="115" spans="1:9" x14ac:dyDescent="0.25">
      <c r="A115" s="23" t="str">
        <f>IF(106&lt;=$C$7,106,"")</f>
        <v/>
      </c>
      <c r="B115" s="24" t="str">
        <f>IF($A115="","",INDEX('Raw Data'!$A$2:$A$251,MATCH($A115,'Raw Data'!$T$2:$T$251,0)))</f>
        <v/>
      </c>
      <c r="C115" s="46" t="str">
        <f>IF($A115="","",INDEX('Raw Data'!$B$2:$B$251,MATCH($A115,'Raw Data'!$T$2:$T$251,0)))</f>
        <v/>
      </c>
      <c r="D115" s="24" t="str">
        <f>IF($A115="","",INDEX('Raw Data'!$D$2:$D$251,MATCH($A115,'Raw Data'!$T$2:$T$251,0)))</f>
        <v/>
      </c>
      <c r="E115" s="24" t="str">
        <f>IF($A115="","",INDEX('Raw Data'!$F$2:$F$251,MATCH($A115,'Raw Data'!$T$2:$T$251,0)))</f>
        <v/>
      </c>
      <c r="F115" s="24" t="str">
        <f>IF($A115="","",INDEX('Raw Data'!$G$2:$G$251,MATCH($A115,'Raw Data'!$T$2:$T$251,0)))</f>
        <v/>
      </c>
      <c r="G115" s="24" t="str">
        <f>IF($A115="","",INDEX('Raw Data'!$K$2:$K$251,MATCH($A115,'Raw Data'!$T$2:$T$251,0)))</f>
        <v/>
      </c>
      <c r="H115" s="26" t="str">
        <f>IF($A115="","",INDEX('Raw Data'!$H$2:$H$251,MATCH($A115,'Raw Data'!$T$2:$T$251,0)))</f>
        <v/>
      </c>
      <c r="I115" s="38" t="str">
        <f>IF($A115="","",INDEX('Raw Data'!$N$2:$N$251,MATCH($A115,'Raw Data'!$T$2:$T$251,0)))</f>
        <v/>
      </c>
    </row>
    <row r="116" spans="1:9" x14ac:dyDescent="0.25">
      <c r="A116" s="23" t="str">
        <f>IF(107&lt;=$C$7,107,"")</f>
        <v/>
      </c>
      <c r="B116" s="24" t="str">
        <f>IF($A116="","",INDEX('Raw Data'!$A$2:$A$251,MATCH($A116,'Raw Data'!$T$2:$T$251,0)))</f>
        <v/>
      </c>
      <c r="C116" s="46" t="str">
        <f>IF($A116="","",INDEX('Raw Data'!$B$2:$B$251,MATCH($A116,'Raw Data'!$T$2:$T$251,0)))</f>
        <v/>
      </c>
      <c r="D116" s="24" t="str">
        <f>IF($A116="","",INDEX('Raw Data'!$D$2:$D$251,MATCH($A116,'Raw Data'!$T$2:$T$251,0)))</f>
        <v/>
      </c>
      <c r="E116" s="24" t="str">
        <f>IF($A116="","",INDEX('Raw Data'!$F$2:$F$251,MATCH($A116,'Raw Data'!$T$2:$T$251,0)))</f>
        <v/>
      </c>
      <c r="F116" s="24" t="str">
        <f>IF($A116="","",INDEX('Raw Data'!$G$2:$G$251,MATCH($A116,'Raw Data'!$T$2:$T$251,0)))</f>
        <v/>
      </c>
      <c r="G116" s="24" t="str">
        <f>IF($A116="","",INDEX('Raw Data'!$K$2:$K$251,MATCH($A116,'Raw Data'!$T$2:$T$251,0)))</f>
        <v/>
      </c>
      <c r="H116" s="26" t="str">
        <f>IF($A116="","",INDEX('Raw Data'!$H$2:$H$251,MATCH($A116,'Raw Data'!$T$2:$T$251,0)))</f>
        <v/>
      </c>
      <c r="I116" s="38" t="str">
        <f>IF($A116="","",INDEX('Raw Data'!$N$2:$N$251,MATCH($A116,'Raw Data'!$T$2:$T$251,0)))</f>
        <v/>
      </c>
    </row>
    <row r="117" spans="1:9" x14ac:dyDescent="0.25">
      <c r="A117" s="23" t="str">
        <f>IF(108&lt;=$C$7,108,"")</f>
        <v/>
      </c>
      <c r="B117" s="24" t="str">
        <f>IF($A117="","",INDEX('Raw Data'!$A$2:$A$251,MATCH($A117,'Raw Data'!$T$2:$T$251,0)))</f>
        <v/>
      </c>
      <c r="C117" s="46" t="str">
        <f>IF($A117="","",INDEX('Raw Data'!$B$2:$B$251,MATCH($A117,'Raw Data'!$T$2:$T$251,0)))</f>
        <v/>
      </c>
      <c r="D117" s="24" t="str">
        <f>IF($A117="","",INDEX('Raw Data'!$D$2:$D$251,MATCH($A117,'Raw Data'!$T$2:$T$251,0)))</f>
        <v/>
      </c>
      <c r="E117" s="24" t="str">
        <f>IF($A117="","",INDEX('Raw Data'!$F$2:$F$251,MATCH($A117,'Raw Data'!$T$2:$T$251,0)))</f>
        <v/>
      </c>
      <c r="F117" s="24" t="str">
        <f>IF($A117="","",INDEX('Raw Data'!$G$2:$G$251,MATCH($A117,'Raw Data'!$T$2:$T$251,0)))</f>
        <v/>
      </c>
      <c r="G117" s="24" t="str">
        <f>IF($A117="","",INDEX('Raw Data'!$K$2:$K$251,MATCH($A117,'Raw Data'!$T$2:$T$251,0)))</f>
        <v/>
      </c>
      <c r="H117" s="26" t="str">
        <f>IF($A117="","",INDEX('Raw Data'!$H$2:$H$251,MATCH($A117,'Raw Data'!$T$2:$T$251,0)))</f>
        <v/>
      </c>
      <c r="I117" s="38" t="str">
        <f>IF($A117="","",INDEX('Raw Data'!$N$2:$N$251,MATCH($A117,'Raw Data'!$T$2:$T$251,0)))</f>
        <v/>
      </c>
    </row>
    <row r="118" spans="1:9" x14ac:dyDescent="0.25">
      <c r="A118" s="23" t="str">
        <f>IF(109&lt;=$C$7,109,"")</f>
        <v/>
      </c>
      <c r="B118" s="24" t="str">
        <f>IF($A118="","",INDEX('Raw Data'!$A$2:$A$251,MATCH($A118,'Raw Data'!$T$2:$T$251,0)))</f>
        <v/>
      </c>
      <c r="C118" s="46" t="str">
        <f>IF($A118="","",INDEX('Raw Data'!$B$2:$B$251,MATCH($A118,'Raw Data'!$T$2:$T$251,0)))</f>
        <v/>
      </c>
      <c r="D118" s="24" t="str">
        <f>IF($A118="","",INDEX('Raw Data'!$D$2:$D$251,MATCH($A118,'Raw Data'!$T$2:$T$251,0)))</f>
        <v/>
      </c>
      <c r="E118" s="24" t="str">
        <f>IF($A118="","",INDEX('Raw Data'!$F$2:$F$251,MATCH($A118,'Raw Data'!$T$2:$T$251,0)))</f>
        <v/>
      </c>
      <c r="F118" s="24" t="str">
        <f>IF($A118="","",INDEX('Raw Data'!$G$2:$G$251,MATCH($A118,'Raw Data'!$T$2:$T$251,0)))</f>
        <v/>
      </c>
      <c r="G118" s="24" t="str">
        <f>IF($A118="","",INDEX('Raw Data'!$K$2:$K$251,MATCH($A118,'Raw Data'!$T$2:$T$251,0)))</f>
        <v/>
      </c>
      <c r="H118" s="26" t="str">
        <f>IF($A118="","",INDEX('Raw Data'!$H$2:$H$251,MATCH($A118,'Raw Data'!$T$2:$T$251,0)))</f>
        <v/>
      </c>
      <c r="I118" s="38" t="str">
        <f>IF($A118="","",INDEX('Raw Data'!$N$2:$N$251,MATCH($A118,'Raw Data'!$T$2:$T$251,0)))</f>
        <v/>
      </c>
    </row>
    <row r="119" spans="1:9" x14ac:dyDescent="0.25">
      <c r="A119" s="23" t="str">
        <f>IF(110&lt;=$C$7,110,"")</f>
        <v/>
      </c>
      <c r="B119" s="24" t="str">
        <f>IF($A119="","",INDEX('Raw Data'!$A$2:$A$251,MATCH($A119,'Raw Data'!$T$2:$T$251,0)))</f>
        <v/>
      </c>
      <c r="C119" s="46" t="str">
        <f>IF($A119="","",INDEX('Raw Data'!$B$2:$B$251,MATCH($A119,'Raw Data'!$T$2:$T$251,0)))</f>
        <v/>
      </c>
      <c r="D119" s="24" t="str">
        <f>IF($A119="","",INDEX('Raw Data'!$D$2:$D$251,MATCH($A119,'Raw Data'!$T$2:$T$251,0)))</f>
        <v/>
      </c>
      <c r="E119" s="24" t="str">
        <f>IF($A119="","",INDEX('Raw Data'!$F$2:$F$251,MATCH($A119,'Raw Data'!$T$2:$T$251,0)))</f>
        <v/>
      </c>
      <c r="F119" s="24" t="str">
        <f>IF($A119="","",INDEX('Raw Data'!$G$2:$G$251,MATCH($A119,'Raw Data'!$T$2:$T$251,0)))</f>
        <v/>
      </c>
      <c r="G119" s="24" t="str">
        <f>IF($A119="","",INDEX('Raw Data'!$K$2:$K$251,MATCH($A119,'Raw Data'!$T$2:$T$251,0)))</f>
        <v/>
      </c>
      <c r="H119" s="26" t="str">
        <f>IF($A119="","",INDEX('Raw Data'!$H$2:$H$251,MATCH($A119,'Raw Data'!$T$2:$T$251,0)))</f>
        <v/>
      </c>
      <c r="I119" s="38" t="str">
        <f>IF($A119="","",INDEX('Raw Data'!$N$2:$N$251,MATCH($A119,'Raw Data'!$T$2:$T$251,0)))</f>
        <v/>
      </c>
    </row>
    <row r="120" spans="1:9" x14ac:dyDescent="0.25">
      <c r="A120" s="23" t="str">
        <f>IF(111&lt;=$C$7,111,"")</f>
        <v/>
      </c>
      <c r="B120" s="24" t="str">
        <f>IF($A120="","",INDEX('Raw Data'!$A$2:$A$251,MATCH($A120,'Raw Data'!$T$2:$T$251,0)))</f>
        <v/>
      </c>
      <c r="C120" s="46" t="str">
        <f>IF($A120="","",INDEX('Raw Data'!$B$2:$B$251,MATCH($A120,'Raw Data'!$T$2:$T$251,0)))</f>
        <v/>
      </c>
      <c r="D120" s="24" t="str">
        <f>IF($A120="","",INDEX('Raw Data'!$D$2:$D$251,MATCH($A120,'Raw Data'!$T$2:$T$251,0)))</f>
        <v/>
      </c>
      <c r="E120" s="24" t="str">
        <f>IF($A120="","",INDEX('Raw Data'!$F$2:$F$251,MATCH($A120,'Raw Data'!$T$2:$T$251,0)))</f>
        <v/>
      </c>
      <c r="F120" s="24" t="str">
        <f>IF($A120="","",INDEX('Raw Data'!$G$2:$G$251,MATCH($A120,'Raw Data'!$T$2:$T$251,0)))</f>
        <v/>
      </c>
      <c r="G120" s="24" t="str">
        <f>IF($A120="","",INDEX('Raw Data'!$K$2:$K$251,MATCH($A120,'Raw Data'!$T$2:$T$251,0)))</f>
        <v/>
      </c>
      <c r="H120" s="26" t="str">
        <f>IF($A120="","",INDEX('Raw Data'!$H$2:$H$251,MATCH($A120,'Raw Data'!$T$2:$T$251,0)))</f>
        <v/>
      </c>
      <c r="I120" s="38" t="str">
        <f>IF($A120="","",INDEX('Raw Data'!$N$2:$N$251,MATCH($A120,'Raw Data'!$T$2:$T$251,0)))</f>
        <v/>
      </c>
    </row>
    <row r="121" spans="1:9" x14ac:dyDescent="0.25">
      <c r="A121" s="23" t="str">
        <f>IF(112&lt;=$C$7,112,"")</f>
        <v/>
      </c>
      <c r="B121" s="24" t="str">
        <f>IF($A121="","",INDEX('Raw Data'!$A$2:$A$251,MATCH($A121,'Raw Data'!$T$2:$T$251,0)))</f>
        <v/>
      </c>
      <c r="C121" s="46" t="str">
        <f>IF($A121="","",INDEX('Raw Data'!$B$2:$B$251,MATCH($A121,'Raw Data'!$T$2:$T$251,0)))</f>
        <v/>
      </c>
      <c r="D121" s="24" t="str">
        <f>IF($A121="","",INDEX('Raw Data'!$D$2:$D$251,MATCH($A121,'Raw Data'!$T$2:$T$251,0)))</f>
        <v/>
      </c>
      <c r="E121" s="24" t="str">
        <f>IF($A121="","",INDEX('Raw Data'!$F$2:$F$251,MATCH($A121,'Raw Data'!$T$2:$T$251,0)))</f>
        <v/>
      </c>
      <c r="F121" s="24" t="str">
        <f>IF($A121="","",INDEX('Raw Data'!$G$2:$G$251,MATCH($A121,'Raw Data'!$T$2:$T$251,0)))</f>
        <v/>
      </c>
      <c r="G121" s="24" t="str">
        <f>IF($A121="","",INDEX('Raw Data'!$K$2:$K$251,MATCH($A121,'Raw Data'!$T$2:$T$251,0)))</f>
        <v/>
      </c>
      <c r="H121" s="26" t="str">
        <f>IF($A121="","",INDEX('Raw Data'!$H$2:$H$251,MATCH($A121,'Raw Data'!$T$2:$T$251,0)))</f>
        <v/>
      </c>
      <c r="I121" s="38" t="str">
        <f>IF($A121="","",INDEX('Raw Data'!$N$2:$N$251,MATCH($A121,'Raw Data'!$T$2:$T$251,0)))</f>
        <v/>
      </c>
    </row>
    <row r="122" spans="1:9" x14ac:dyDescent="0.25">
      <c r="A122" s="23" t="str">
        <f>IF(113&lt;=$C$7,113,"")</f>
        <v/>
      </c>
      <c r="B122" s="24" t="str">
        <f>IF($A122="","",INDEX('Raw Data'!$A$2:$A$251,MATCH($A122,'Raw Data'!$T$2:$T$251,0)))</f>
        <v/>
      </c>
      <c r="C122" s="46" t="str">
        <f>IF($A122="","",INDEX('Raw Data'!$B$2:$B$251,MATCH($A122,'Raw Data'!$T$2:$T$251,0)))</f>
        <v/>
      </c>
      <c r="D122" s="24" t="str">
        <f>IF($A122="","",INDEX('Raw Data'!$D$2:$D$251,MATCH($A122,'Raw Data'!$T$2:$T$251,0)))</f>
        <v/>
      </c>
      <c r="E122" s="24" t="str">
        <f>IF($A122="","",INDEX('Raw Data'!$F$2:$F$251,MATCH($A122,'Raw Data'!$T$2:$T$251,0)))</f>
        <v/>
      </c>
      <c r="F122" s="24" t="str">
        <f>IF($A122="","",INDEX('Raw Data'!$G$2:$G$251,MATCH($A122,'Raw Data'!$T$2:$T$251,0)))</f>
        <v/>
      </c>
      <c r="G122" s="24" t="str">
        <f>IF($A122="","",INDEX('Raw Data'!$K$2:$K$251,MATCH($A122,'Raw Data'!$T$2:$T$251,0)))</f>
        <v/>
      </c>
      <c r="H122" s="26" t="str">
        <f>IF($A122="","",INDEX('Raw Data'!$H$2:$H$251,MATCH($A122,'Raw Data'!$T$2:$T$251,0)))</f>
        <v/>
      </c>
      <c r="I122" s="38" t="str">
        <f>IF($A122="","",INDEX('Raw Data'!$N$2:$N$251,MATCH($A122,'Raw Data'!$T$2:$T$251,0)))</f>
        <v/>
      </c>
    </row>
    <row r="123" spans="1:9" x14ac:dyDescent="0.25">
      <c r="A123" s="23" t="str">
        <f>IF(114&lt;=$C$7,114,"")</f>
        <v/>
      </c>
      <c r="B123" s="24" t="str">
        <f>IF($A123="","",INDEX('Raw Data'!$A$2:$A$251,MATCH($A123,'Raw Data'!$T$2:$T$251,0)))</f>
        <v/>
      </c>
      <c r="C123" s="46" t="str">
        <f>IF($A123="","",INDEX('Raw Data'!$B$2:$B$251,MATCH($A123,'Raw Data'!$T$2:$T$251,0)))</f>
        <v/>
      </c>
      <c r="D123" s="24" t="str">
        <f>IF($A123="","",INDEX('Raw Data'!$D$2:$D$251,MATCH($A123,'Raw Data'!$T$2:$T$251,0)))</f>
        <v/>
      </c>
      <c r="E123" s="24" t="str">
        <f>IF($A123="","",INDEX('Raw Data'!$F$2:$F$251,MATCH($A123,'Raw Data'!$T$2:$T$251,0)))</f>
        <v/>
      </c>
      <c r="F123" s="24" t="str">
        <f>IF($A123="","",INDEX('Raw Data'!$G$2:$G$251,MATCH($A123,'Raw Data'!$T$2:$T$251,0)))</f>
        <v/>
      </c>
      <c r="G123" s="24" t="str">
        <f>IF($A123="","",INDEX('Raw Data'!$K$2:$K$251,MATCH($A123,'Raw Data'!$T$2:$T$251,0)))</f>
        <v/>
      </c>
      <c r="H123" s="26" t="str">
        <f>IF($A123="","",INDEX('Raw Data'!$H$2:$H$251,MATCH($A123,'Raw Data'!$T$2:$T$251,0)))</f>
        <v/>
      </c>
      <c r="I123" s="38" t="str">
        <f>IF($A123="","",INDEX('Raw Data'!$N$2:$N$251,MATCH($A123,'Raw Data'!$T$2:$T$251,0)))</f>
        <v/>
      </c>
    </row>
    <row r="124" spans="1:9" x14ac:dyDescent="0.25">
      <c r="A124" s="23" t="str">
        <f>IF(115&lt;=$C$7,115,"")</f>
        <v/>
      </c>
      <c r="B124" s="24" t="str">
        <f>IF($A124="","",INDEX('Raw Data'!$A$2:$A$251,MATCH($A124,'Raw Data'!$T$2:$T$251,0)))</f>
        <v/>
      </c>
      <c r="C124" s="46" t="str">
        <f>IF($A124="","",INDEX('Raw Data'!$B$2:$B$251,MATCH($A124,'Raw Data'!$T$2:$T$251,0)))</f>
        <v/>
      </c>
      <c r="D124" s="24" t="str">
        <f>IF($A124="","",INDEX('Raw Data'!$D$2:$D$251,MATCH($A124,'Raw Data'!$T$2:$T$251,0)))</f>
        <v/>
      </c>
      <c r="E124" s="24" t="str">
        <f>IF($A124="","",INDEX('Raw Data'!$F$2:$F$251,MATCH($A124,'Raw Data'!$T$2:$T$251,0)))</f>
        <v/>
      </c>
      <c r="F124" s="24" t="str">
        <f>IF($A124="","",INDEX('Raw Data'!$G$2:$G$251,MATCH($A124,'Raw Data'!$T$2:$T$251,0)))</f>
        <v/>
      </c>
      <c r="G124" s="24" t="str">
        <f>IF($A124="","",INDEX('Raw Data'!$K$2:$K$251,MATCH($A124,'Raw Data'!$T$2:$T$251,0)))</f>
        <v/>
      </c>
      <c r="H124" s="26" t="str">
        <f>IF($A124="","",INDEX('Raw Data'!$H$2:$H$251,MATCH($A124,'Raw Data'!$T$2:$T$251,0)))</f>
        <v/>
      </c>
      <c r="I124" s="38" t="str">
        <f>IF($A124="","",INDEX('Raw Data'!$N$2:$N$251,MATCH($A124,'Raw Data'!$T$2:$T$251,0)))</f>
        <v/>
      </c>
    </row>
    <row r="125" spans="1:9" x14ac:dyDescent="0.25">
      <c r="A125" s="23" t="str">
        <f>IF(116&lt;=$C$7,116,"")</f>
        <v/>
      </c>
      <c r="B125" s="24" t="str">
        <f>IF($A125="","",INDEX('Raw Data'!$A$2:$A$251,MATCH($A125,'Raw Data'!$T$2:$T$251,0)))</f>
        <v/>
      </c>
      <c r="C125" s="46" t="str">
        <f>IF($A125="","",INDEX('Raw Data'!$B$2:$B$251,MATCH($A125,'Raw Data'!$T$2:$T$251,0)))</f>
        <v/>
      </c>
      <c r="D125" s="24" t="str">
        <f>IF($A125="","",INDEX('Raw Data'!$D$2:$D$251,MATCH($A125,'Raw Data'!$T$2:$T$251,0)))</f>
        <v/>
      </c>
      <c r="E125" s="24" t="str">
        <f>IF($A125="","",INDEX('Raw Data'!$F$2:$F$251,MATCH($A125,'Raw Data'!$T$2:$T$251,0)))</f>
        <v/>
      </c>
      <c r="F125" s="24" t="str">
        <f>IF($A125="","",INDEX('Raw Data'!$G$2:$G$251,MATCH($A125,'Raw Data'!$T$2:$T$251,0)))</f>
        <v/>
      </c>
      <c r="G125" s="24" t="str">
        <f>IF($A125="","",INDEX('Raw Data'!$K$2:$K$251,MATCH($A125,'Raw Data'!$T$2:$T$251,0)))</f>
        <v/>
      </c>
      <c r="H125" s="26" t="str">
        <f>IF($A125="","",INDEX('Raw Data'!$H$2:$H$251,MATCH($A125,'Raw Data'!$T$2:$T$251,0)))</f>
        <v/>
      </c>
      <c r="I125" s="38" t="str">
        <f>IF($A125="","",INDEX('Raw Data'!$N$2:$N$251,MATCH($A125,'Raw Data'!$T$2:$T$251,0)))</f>
        <v/>
      </c>
    </row>
    <row r="126" spans="1:9" x14ac:dyDescent="0.25">
      <c r="A126" s="23" t="str">
        <f>IF(117&lt;=$C$7,117,"")</f>
        <v/>
      </c>
      <c r="B126" s="24" t="str">
        <f>IF($A126="","",INDEX('Raw Data'!$A$2:$A$251,MATCH($A126,'Raw Data'!$T$2:$T$251,0)))</f>
        <v/>
      </c>
      <c r="C126" s="46" t="str">
        <f>IF($A126="","",INDEX('Raw Data'!$B$2:$B$251,MATCH($A126,'Raw Data'!$T$2:$T$251,0)))</f>
        <v/>
      </c>
      <c r="D126" s="24" t="str">
        <f>IF($A126="","",INDEX('Raw Data'!$D$2:$D$251,MATCH($A126,'Raw Data'!$T$2:$T$251,0)))</f>
        <v/>
      </c>
      <c r="E126" s="24" t="str">
        <f>IF($A126="","",INDEX('Raw Data'!$F$2:$F$251,MATCH($A126,'Raw Data'!$T$2:$T$251,0)))</f>
        <v/>
      </c>
      <c r="F126" s="24" t="str">
        <f>IF($A126="","",INDEX('Raw Data'!$G$2:$G$251,MATCH($A126,'Raw Data'!$T$2:$T$251,0)))</f>
        <v/>
      </c>
      <c r="G126" s="24" t="str">
        <f>IF($A126="","",INDEX('Raw Data'!$K$2:$K$251,MATCH($A126,'Raw Data'!$T$2:$T$251,0)))</f>
        <v/>
      </c>
      <c r="H126" s="26" t="str">
        <f>IF($A126="","",INDEX('Raw Data'!$H$2:$H$251,MATCH($A126,'Raw Data'!$T$2:$T$251,0)))</f>
        <v/>
      </c>
      <c r="I126" s="38" t="str">
        <f>IF($A126="","",INDEX('Raw Data'!$N$2:$N$251,MATCH($A126,'Raw Data'!$T$2:$T$251,0)))</f>
        <v/>
      </c>
    </row>
    <row r="127" spans="1:9" x14ac:dyDescent="0.25">
      <c r="A127" s="23" t="str">
        <f>IF(118&lt;=$C$7,118,"")</f>
        <v/>
      </c>
      <c r="B127" s="24" t="str">
        <f>IF($A127="","",INDEX('Raw Data'!$A$2:$A$251,MATCH($A127,'Raw Data'!$T$2:$T$251,0)))</f>
        <v/>
      </c>
      <c r="C127" s="46" t="str">
        <f>IF($A127="","",INDEX('Raw Data'!$B$2:$B$251,MATCH($A127,'Raw Data'!$T$2:$T$251,0)))</f>
        <v/>
      </c>
      <c r="D127" s="24" t="str">
        <f>IF($A127="","",INDEX('Raw Data'!$D$2:$D$251,MATCH($A127,'Raw Data'!$T$2:$T$251,0)))</f>
        <v/>
      </c>
      <c r="E127" s="24" t="str">
        <f>IF($A127="","",INDEX('Raw Data'!$F$2:$F$251,MATCH($A127,'Raw Data'!$T$2:$T$251,0)))</f>
        <v/>
      </c>
      <c r="F127" s="24" t="str">
        <f>IF($A127="","",INDEX('Raw Data'!$G$2:$G$251,MATCH($A127,'Raw Data'!$T$2:$T$251,0)))</f>
        <v/>
      </c>
      <c r="G127" s="24" t="str">
        <f>IF($A127="","",INDEX('Raw Data'!$K$2:$K$251,MATCH($A127,'Raw Data'!$T$2:$T$251,0)))</f>
        <v/>
      </c>
      <c r="H127" s="26" t="str">
        <f>IF($A127="","",INDEX('Raw Data'!$H$2:$H$251,MATCH($A127,'Raw Data'!$T$2:$T$251,0)))</f>
        <v/>
      </c>
      <c r="I127" s="38" t="str">
        <f>IF($A127="","",INDEX('Raw Data'!$N$2:$N$251,MATCH($A127,'Raw Data'!$T$2:$T$251,0)))</f>
        <v/>
      </c>
    </row>
    <row r="128" spans="1:9" x14ac:dyDescent="0.25">
      <c r="A128" s="23" t="str">
        <f>IF(119&lt;=$C$7,119,"")</f>
        <v/>
      </c>
      <c r="B128" s="24" t="str">
        <f>IF($A128="","",INDEX('Raw Data'!$A$2:$A$251,MATCH($A128,'Raw Data'!$T$2:$T$251,0)))</f>
        <v/>
      </c>
      <c r="C128" s="46" t="str">
        <f>IF($A128="","",INDEX('Raw Data'!$B$2:$B$251,MATCH($A128,'Raw Data'!$T$2:$T$251,0)))</f>
        <v/>
      </c>
      <c r="D128" s="24" t="str">
        <f>IF($A128="","",INDEX('Raw Data'!$D$2:$D$251,MATCH($A128,'Raw Data'!$T$2:$T$251,0)))</f>
        <v/>
      </c>
      <c r="E128" s="24" t="str">
        <f>IF($A128="","",INDEX('Raw Data'!$F$2:$F$251,MATCH($A128,'Raw Data'!$T$2:$T$251,0)))</f>
        <v/>
      </c>
      <c r="F128" s="24" t="str">
        <f>IF($A128="","",INDEX('Raw Data'!$G$2:$G$251,MATCH($A128,'Raw Data'!$T$2:$T$251,0)))</f>
        <v/>
      </c>
      <c r="G128" s="24" t="str">
        <f>IF($A128="","",INDEX('Raw Data'!$K$2:$K$251,MATCH($A128,'Raw Data'!$T$2:$T$251,0)))</f>
        <v/>
      </c>
      <c r="H128" s="26" t="str">
        <f>IF($A128="","",INDEX('Raw Data'!$H$2:$H$251,MATCH($A128,'Raw Data'!$T$2:$T$251,0)))</f>
        <v/>
      </c>
      <c r="I128" s="38" t="str">
        <f>IF($A128="","",INDEX('Raw Data'!$N$2:$N$251,MATCH($A128,'Raw Data'!$T$2:$T$251,0)))</f>
        <v/>
      </c>
    </row>
    <row r="129" spans="1:9" x14ac:dyDescent="0.25">
      <c r="A129" s="23" t="str">
        <f>IF(120&lt;=$C$7,120,"")</f>
        <v/>
      </c>
      <c r="B129" s="24" t="str">
        <f>IF($A129="","",INDEX('Raw Data'!$A$2:$A$251,MATCH($A129,'Raw Data'!$T$2:$T$251,0)))</f>
        <v/>
      </c>
      <c r="C129" s="46" t="str">
        <f>IF($A129="","",INDEX('Raw Data'!$B$2:$B$251,MATCH($A129,'Raw Data'!$T$2:$T$251,0)))</f>
        <v/>
      </c>
      <c r="D129" s="24" t="str">
        <f>IF($A129="","",INDEX('Raw Data'!$D$2:$D$251,MATCH($A129,'Raw Data'!$T$2:$T$251,0)))</f>
        <v/>
      </c>
      <c r="E129" s="24" t="str">
        <f>IF($A129="","",INDEX('Raw Data'!$F$2:$F$251,MATCH($A129,'Raw Data'!$T$2:$T$251,0)))</f>
        <v/>
      </c>
      <c r="F129" s="24" t="str">
        <f>IF($A129="","",INDEX('Raw Data'!$G$2:$G$251,MATCH($A129,'Raw Data'!$T$2:$T$251,0)))</f>
        <v/>
      </c>
      <c r="G129" s="24" t="str">
        <f>IF($A129="","",INDEX('Raw Data'!$K$2:$K$251,MATCH($A129,'Raw Data'!$T$2:$T$251,0)))</f>
        <v/>
      </c>
      <c r="H129" s="26" t="str">
        <f>IF($A129="","",INDEX('Raw Data'!$H$2:$H$251,MATCH($A129,'Raw Data'!$T$2:$T$251,0)))</f>
        <v/>
      </c>
      <c r="I129" s="38" t="str">
        <f>IF($A129="","",INDEX('Raw Data'!$N$2:$N$251,MATCH($A129,'Raw Data'!$T$2:$T$251,0)))</f>
        <v/>
      </c>
    </row>
    <row r="130" spans="1:9" x14ac:dyDescent="0.25">
      <c r="A130" s="23" t="str">
        <f>IF(121&lt;=$C$7,121,"")</f>
        <v/>
      </c>
      <c r="B130" s="24" t="str">
        <f>IF($A130="","",INDEX('Raw Data'!$A$2:$A$251,MATCH($A130,'Raw Data'!$T$2:$T$251,0)))</f>
        <v/>
      </c>
      <c r="C130" s="46" t="str">
        <f>IF($A130="","",INDEX('Raw Data'!$B$2:$B$251,MATCH($A130,'Raw Data'!$T$2:$T$251,0)))</f>
        <v/>
      </c>
      <c r="D130" s="24" t="str">
        <f>IF($A130="","",INDEX('Raw Data'!$D$2:$D$251,MATCH($A130,'Raw Data'!$T$2:$T$251,0)))</f>
        <v/>
      </c>
      <c r="E130" s="24" t="str">
        <f>IF($A130="","",INDEX('Raw Data'!$F$2:$F$251,MATCH($A130,'Raw Data'!$T$2:$T$251,0)))</f>
        <v/>
      </c>
      <c r="F130" s="24" t="str">
        <f>IF($A130="","",INDEX('Raw Data'!$G$2:$G$251,MATCH($A130,'Raw Data'!$T$2:$T$251,0)))</f>
        <v/>
      </c>
      <c r="G130" s="24" t="str">
        <f>IF($A130="","",INDEX('Raw Data'!$K$2:$K$251,MATCH($A130,'Raw Data'!$T$2:$T$251,0)))</f>
        <v/>
      </c>
      <c r="H130" s="26" t="str">
        <f>IF($A130="","",INDEX('Raw Data'!$H$2:$H$251,MATCH($A130,'Raw Data'!$T$2:$T$251,0)))</f>
        <v/>
      </c>
      <c r="I130" s="38" t="str">
        <f>IF($A130="","",INDEX('Raw Data'!$N$2:$N$251,MATCH($A130,'Raw Data'!$T$2:$T$251,0)))</f>
        <v/>
      </c>
    </row>
    <row r="131" spans="1:9" x14ac:dyDescent="0.25">
      <c r="A131" s="23" t="str">
        <f>IF(122&lt;=$C$7,122,"")</f>
        <v/>
      </c>
      <c r="B131" s="24" t="str">
        <f>IF($A131="","",INDEX('Raw Data'!$A$2:$A$251,MATCH($A131,'Raw Data'!$T$2:$T$251,0)))</f>
        <v/>
      </c>
      <c r="C131" s="46" t="str">
        <f>IF($A131="","",INDEX('Raw Data'!$B$2:$B$251,MATCH($A131,'Raw Data'!$T$2:$T$251,0)))</f>
        <v/>
      </c>
      <c r="D131" s="24" t="str">
        <f>IF($A131="","",INDEX('Raw Data'!$D$2:$D$251,MATCH($A131,'Raw Data'!$T$2:$T$251,0)))</f>
        <v/>
      </c>
      <c r="E131" s="24" t="str">
        <f>IF($A131="","",INDEX('Raw Data'!$F$2:$F$251,MATCH($A131,'Raw Data'!$T$2:$T$251,0)))</f>
        <v/>
      </c>
      <c r="F131" s="24" t="str">
        <f>IF($A131="","",INDEX('Raw Data'!$G$2:$G$251,MATCH($A131,'Raw Data'!$T$2:$T$251,0)))</f>
        <v/>
      </c>
      <c r="G131" s="24" t="str">
        <f>IF($A131="","",INDEX('Raw Data'!$K$2:$K$251,MATCH($A131,'Raw Data'!$T$2:$T$251,0)))</f>
        <v/>
      </c>
      <c r="H131" s="26" t="str">
        <f>IF($A131="","",INDEX('Raw Data'!$H$2:$H$251,MATCH($A131,'Raw Data'!$T$2:$T$251,0)))</f>
        <v/>
      </c>
      <c r="I131" s="38" t="str">
        <f>IF($A131="","",INDEX('Raw Data'!$N$2:$N$251,MATCH($A131,'Raw Data'!$T$2:$T$251,0)))</f>
        <v/>
      </c>
    </row>
    <row r="132" spans="1:9" x14ac:dyDescent="0.25">
      <c r="A132" s="23" t="str">
        <f>IF(123&lt;=$C$7,123,"")</f>
        <v/>
      </c>
      <c r="B132" s="24" t="str">
        <f>IF($A132="","",INDEX('Raw Data'!$A$2:$A$251,MATCH($A132,'Raw Data'!$T$2:$T$251,0)))</f>
        <v/>
      </c>
      <c r="C132" s="46" t="str">
        <f>IF($A132="","",INDEX('Raw Data'!$B$2:$B$251,MATCH($A132,'Raw Data'!$T$2:$T$251,0)))</f>
        <v/>
      </c>
      <c r="D132" s="24" t="str">
        <f>IF($A132="","",INDEX('Raw Data'!$D$2:$D$251,MATCH($A132,'Raw Data'!$T$2:$T$251,0)))</f>
        <v/>
      </c>
      <c r="E132" s="24" t="str">
        <f>IF($A132="","",INDEX('Raw Data'!$F$2:$F$251,MATCH($A132,'Raw Data'!$T$2:$T$251,0)))</f>
        <v/>
      </c>
      <c r="F132" s="24" t="str">
        <f>IF($A132="","",INDEX('Raw Data'!$G$2:$G$251,MATCH($A132,'Raw Data'!$T$2:$T$251,0)))</f>
        <v/>
      </c>
      <c r="G132" s="24" t="str">
        <f>IF($A132="","",INDEX('Raw Data'!$K$2:$K$251,MATCH($A132,'Raw Data'!$T$2:$T$251,0)))</f>
        <v/>
      </c>
      <c r="H132" s="26" t="str">
        <f>IF($A132="","",INDEX('Raw Data'!$H$2:$H$251,MATCH($A132,'Raw Data'!$T$2:$T$251,0)))</f>
        <v/>
      </c>
      <c r="I132" s="38" t="str">
        <f>IF($A132="","",INDEX('Raw Data'!$N$2:$N$251,MATCH($A132,'Raw Data'!$T$2:$T$251,0)))</f>
        <v/>
      </c>
    </row>
    <row r="133" spans="1:9" x14ac:dyDescent="0.25">
      <c r="A133" s="23" t="str">
        <f>IF(124&lt;=$C$7,124,"")</f>
        <v/>
      </c>
      <c r="B133" s="24" t="str">
        <f>IF($A133="","",INDEX('Raw Data'!$A$2:$A$251,MATCH($A133,'Raw Data'!$T$2:$T$251,0)))</f>
        <v/>
      </c>
      <c r="C133" s="46" t="str">
        <f>IF($A133="","",INDEX('Raw Data'!$B$2:$B$251,MATCH($A133,'Raw Data'!$T$2:$T$251,0)))</f>
        <v/>
      </c>
      <c r="D133" s="24" t="str">
        <f>IF($A133="","",INDEX('Raw Data'!$D$2:$D$251,MATCH($A133,'Raw Data'!$T$2:$T$251,0)))</f>
        <v/>
      </c>
      <c r="E133" s="24" t="str">
        <f>IF($A133="","",INDEX('Raw Data'!$F$2:$F$251,MATCH($A133,'Raw Data'!$T$2:$T$251,0)))</f>
        <v/>
      </c>
      <c r="F133" s="24" t="str">
        <f>IF($A133="","",INDEX('Raw Data'!$G$2:$G$251,MATCH($A133,'Raw Data'!$T$2:$T$251,0)))</f>
        <v/>
      </c>
      <c r="G133" s="24" t="str">
        <f>IF($A133="","",INDEX('Raw Data'!$K$2:$K$251,MATCH($A133,'Raw Data'!$T$2:$T$251,0)))</f>
        <v/>
      </c>
      <c r="H133" s="26" t="str">
        <f>IF($A133="","",INDEX('Raw Data'!$H$2:$H$251,MATCH($A133,'Raw Data'!$T$2:$T$251,0)))</f>
        <v/>
      </c>
      <c r="I133" s="38" t="str">
        <f>IF($A133="","",INDEX('Raw Data'!$N$2:$N$251,MATCH($A133,'Raw Data'!$T$2:$T$251,0)))</f>
        <v/>
      </c>
    </row>
    <row r="134" spans="1:9" x14ac:dyDescent="0.25">
      <c r="A134" s="23" t="str">
        <f>IF(125&lt;=$C$7,125,"")</f>
        <v/>
      </c>
      <c r="B134" s="24" t="str">
        <f>IF($A134="","",INDEX('Raw Data'!$A$2:$A$251,MATCH($A134,'Raw Data'!$T$2:$T$251,0)))</f>
        <v/>
      </c>
      <c r="C134" s="46" t="str">
        <f>IF($A134="","",INDEX('Raw Data'!$B$2:$B$251,MATCH($A134,'Raw Data'!$T$2:$T$251,0)))</f>
        <v/>
      </c>
      <c r="D134" s="24" t="str">
        <f>IF($A134="","",INDEX('Raw Data'!$D$2:$D$251,MATCH($A134,'Raw Data'!$T$2:$T$251,0)))</f>
        <v/>
      </c>
      <c r="E134" s="24" t="str">
        <f>IF($A134="","",INDEX('Raw Data'!$F$2:$F$251,MATCH($A134,'Raw Data'!$T$2:$T$251,0)))</f>
        <v/>
      </c>
      <c r="F134" s="24" t="str">
        <f>IF($A134="","",INDEX('Raw Data'!$G$2:$G$251,MATCH($A134,'Raw Data'!$T$2:$T$251,0)))</f>
        <v/>
      </c>
      <c r="G134" s="24" t="str">
        <f>IF($A134="","",INDEX('Raw Data'!$K$2:$K$251,MATCH($A134,'Raw Data'!$T$2:$T$251,0)))</f>
        <v/>
      </c>
      <c r="H134" s="26" t="str">
        <f>IF($A134="","",INDEX('Raw Data'!$H$2:$H$251,MATCH($A134,'Raw Data'!$T$2:$T$251,0)))</f>
        <v/>
      </c>
      <c r="I134" s="38" t="str">
        <f>IF($A134="","",INDEX('Raw Data'!$N$2:$N$251,MATCH($A134,'Raw Data'!$T$2:$T$251,0)))</f>
        <v/>
      </c>
    </row>
    <row r="135" spans="1:9" x14ac:dyDescent="0.25">
      <c r="A135" s="23" t="str">
        <f>IF(126&lt;=$C$7,126,"")</f>
        <v/>
      </c>
      <c r="B135" s="24" t="str">
        <f>IF($A135="","",INDEX('Raw Data'!$A$2:$A$251,MATCH($A135,'Raw Data'!$T$2:$T$251,0)))</f>
        <v/>
      </c>
      <c r="C135" s="46" t="str">
        <f>IF($A135="","",INDEX('Raw Data'!$B$2:$B$251,MATCH($A135,'Raw Data'!$T$2:$T$251,0)))</f>
        <v/>
      </c>
      <c r="D135" s="24" t="str">
        <f>IF($A135="","",INDEX('Raw Data'!$D$2:$D$251,MATCH($A135,'Raw Data'!$T$2:$T$251,0)))</f>
        <v/>
      </c>
      <c r="E135" s="24" t="str">
        <f>IF($A135="","",INDEX('Raw Data'!$F$2:$F$251,MATCH($A135,'Raw Data'!$T$2:$T$251,0)))</f>
        <v/>
      </c>
      <c r="F135" s="24" t="str">
        <f>IF($A135="","",INDEX('Raw Data'!$G$2:$G$251,MATCH($A135,'Raw Data'!$T$2:$T$251,0)))</f>
        <v/>
      </c>
      <c r="G135" s="24" t="str">
        <f>IF($A135="","",INDEX('Raw Data'!$K$2:$K$251,MATCH($A135,'Raw Data'!$T$2:$T$251,0)))</f>
        <v/>
      </c>
      <c r="H135" s="26" t="str">
        <f>IF($A135="","",INDEX('Raw Data'!$H$2:$H$251,MATCH($A135,'Raw Data'!$T$2:$T$251,0)))</f>
        <v/>
      </c>
      <c r="I135" s="38" t="str">
        <f>IF($A135="","",INDEX('Raw Data'!$N$2:$N$251,MATCH($A135,'Raw Data'!$T$2:$T$251,0)))</f>
        <v/>
      </c>
    </row>
    <row r="136" spans="1:9" x14ac:dyDescent="0.25">
      <c r="A136" s="23" t="str">
        <f>IF(127&lt;=$C$7,127,"")</f>
        <v/>
      </c>
      <c r="B136" s="24" t="str">
        <f>IF($A136="","",INDEX('Raw Data'!$A$2:$A$251,MATCH($A136,'Raw Data'!$T$2:$T$251,0)))</f>
        <v/>
      </c>
      <c r="C136" s="46" t="str">
        <f>IF($A136="","",INDEX('Raw Data'!$B$2:$B$251,MATCH($A136,'Raw Data'!$T$2:$T$251,0)))</f>
        <v/>
      </c>
      <c r="D136" s="24" t="str">
        <f>IF($A136="","",INDEX('Raw Data'!$D$2:$D$251,MATCH($A136,'Raw Data'!$T$2:$T$251,0)))</f>
        <v/>
      </c>
      <c r="E136" s="24" t="str">
        <f>IF($A136="","",INDEX('Raw Data'!$F$2:$F$251,MATCH($A136,'Raw Data'!$T$2:$T$251,0)))</f>
        <v/>
      </c>
      <c r="F136" s="24" t="str">
        <f>IF($A136="","",INDEX('Raw Data'!$G$2:$G$251,MATCH($A136,'Raw Data'!$T$2:$T$251,0)))</f>
        <v/>
      </c>
      <c r="G136" s="24" t="str">
        <f>IF($A136="","",INDEX('Raw Data'!$K$2:$K$251,MATCH($A136,'Raw Data'!$T$2:$T$251,0)))</f>
        <v/>
      </c>
      <c r="H136" s="26" t="str">
        <f>IF($A136="","",INDEX('Raw Data'!$H$2:$H$251,MATCH($A136,'Raw Data'!$T$2:$T$251,0)))</f>
        <v/>
      </c>
      <c r="I136" s="38" t="str">
        <f>IF($A136="","",INDEX('Raw Data'!$N$2:$N$251,MATCH($A136,'Raw Data'!$T$2:$T$251,0)))</f>
        <v/>
      </c>
    </row>
    <row r="137" spans="1:9" x14ac:dyDescent="0.25">
      <c r="A137" s="23" t="str">
        <f>IF(128&lt;=$C$7,128,"")</f>
        <v/>
      </c>
      <c r="B137" s="24" t="str">
        <f>IF($A137="","",INDEX('Raw Data'!$A$2:$A$251,MATCH($A137,'Raw Data'!$T$2:$T$251,0)))</f>
        <v/>
      </c>
      <c r="C137" s="46" t="str">
        <f>IF($A137="","",INDEX('Raw Data'!$B$2:$B$251,MATCH($A137,'Raw Data'!$T$2:$T$251,0)))</f>
        <v/>
      </c>
      <c r="D137" s="24" t="str">
        <f>IF($A137="","",INDEX('Raw Data'!$D$2:$D$251,MATCH($A137,'Raw Data'!$T$2:$T$251,0)))</f>
        <v/>
      </c>
      <c r="E137" s="24" t="str">
        <f>IF($A137="","",INDEX('Raw Data'!$F$2:$F$251,MATCH($A137,'Raw Data'!$T$2:$T$251,0)))</f>
        <v/>
      </c>
      <c r="F137" s="24" t="str">
        <f>IF($A137="","",INDEX('Raw Data'!$G$2:$G$251,MATCH($A137,'Raw Data'!$T$2:$T$251,0)))</f>
        <v/>
      </c>
      <c r="G137" s="24" t="str">
        <f>IF($A137="","",INDEX('Raw Data'!$K$2:$K$251,MATCH($A137,'Raw Data'!$T$2:$T$251,0)))</f>
        <v/>
      </c>
      <c r="H137" s="26" t="str">
        <f>IF($A137="","",INDEX('Raw Data'!$H$2:$H$251,MATCH($A137,'Raw Data'!$T$2:$T$251,0)))</f>
        <v/>
      </c>
      <c r="I137" s="38" t="str">
        <f>IF($A137="","",INDEX('Raw Data'!$N$2:$N$251,MATCH($A137,'Raw Data'!$T$2:$T$251,0)))</f>
        <v/>
      </c>
    </row>
    <row r="138" spans="1:9" x14ac:dyDescent="0.25">
      <c r="A138" s="23" t="str">
        <f>IF(129&lt;=$C$7,129,"")</f>
        <v/>
      </c>
      <c r="B138" s="24" t="str">
        <f>IF($A138="","",INDEX('Raw Data'!$A$2:$A$251,MATCH($A138,'Raw Data'!$T$2:$T$251,0)))</f>
        <v/>
      </c>
      <c r="C138" s="46" t="str">
        <f>IF($A138="","",INDEX('Raw Data'!$B$2:$B$251,MATCH($A138,'Raw Data'!$T$2:$T$251,0)))</f>
        <v/>
      </c>
      <c r="D138" s="24" t="str">
        <f>IF($A138="","",INDEX('Raw Data'!$D$2:$D$251,MATCH($A138,'Raw Data'!$T$2:$T$251,0)))</f>
        <v/>
      </c>
      <c r="E138" s="24" t="str">
        <f>IF($A138="","",INDEX('Raw Data'!$F$2:$F$251,MATCH($A138,'Raw Data'!$T$2:$T$251,0)))</f>
        <v/>
      </c>
      <c r="F138" s="24" t="str">
        <f>IF($A138="","",INDEX('Raw Data'!$G$2:$G$251,MATCH($A138,'Raw Data'!$T$2:$T$251,0)))</f>
        <v/>
      </c>
      <c r="G138" s="24" t="str">
        <f>IF($A138="","",INDEX('Raw Data'!$K$2:$K$251,MATCH($A138,'Raw Data'!$T$2:$T$251,0)))</f>
        <v/>
      </c>
      <c r="H138" s="26" t="str">
        <f>IF($A138="","",INDEX('Raw Data'!$H$2:$H$251,MATCH($A138,'Raw Data'!$T$2:$T$251,0)))</f>
        <v/>
      </c>
      <c r="I138" s="38" t="str">
        <f>IF($A138="","",INDEX('Raw Data'!$N$2:$N$251,MATCH($A138,'Raw Data'!$T$2:$T$251,0)))</f>
        <v/>
      </c>
    </row>
    <row r="139" spans="1:9" x14ac:dyDescent="0.25">
      <c r="A139" s="23" t="str">
        <f>IF(130&lt;=$C$7,130,"")</f>
        <v/>
      </c>
      <c r="B139" s="24" t="str">
        <f>IF($A139="","",INDEX('Raw Data'!$A$2:$A$251,MATCH($A139,'Raw Data'!$T$2:$T$251,0)))</f>
        <v/>
      </c>
      <c r="C139" s="46" t="str">
        <f>IF($A139="","",INDEX('Raw Data'!$B$2:$B$251,MATCH($A139,'Raw Data'!$T$2:$T$251,0)))</f>
        <v/>
      </c>
      <c r="D139" s="24" t="str">
        <f>IF($A139="","",INDEX('Raw Data'!$D$2:$D$251,MATCH($A139,'Raw Data'!$T$2:$T$251,0)))</f>
        <v/>
      </c>
      <c r="E139" s="24" t="str">
        <f>IF($A139="","",INDEX('Raw Data'!$F$2:$F$251,MATCH($A139,'Raw Data'!$T$2:$T$251,0)))</f>
        <v/>
      </c>
      <c r="F139" s="24" t="str">
        <f>IF($A139="","",INDEX('Raw Data'!$G$2:$G$251,MATCH($A139,'Raw Data'!$T$2:$T$251,0)))</f>
        <v/>
      </c>
      <c r="G139" s="24" t="str">
        <f>IF($A139="","",INDEX('Raw Data'!$K$2:$K$251,MATCH($A139,'Raw Data'!$T$2:$T$251,0)))</f>
        <v/>
      </c>
      <c r="H139" s="26" t="str">
        <f>IF($A139="","",INDEX('Raw Data'!$H$2:$H$251,MATCH($A139,'Raw Data'!$T$2:$T$251,0)))</f>
        <v/>
      </c>
      <c r="I139" s="38" t="str">
        <f>IF($A139="","",INDEX('Raw Data'!$N$2:$N$251,MATCH($A139,'Raw Data'!$T$2:$T$251,0)))</f>
        <v/>
      </c>
    </row>
    <row r="140" spans="1:9" x14ac:dyDescent="0.25">
      <c r="A140" s="23" t="str">
        <f>IF(131&lt;=$C$7,131,"")</f>
        <v/>
      </c>
      <c r="B140" s="24" t="str">
        <f>IF($A140="","",INDEX('Raw Data'!$A$2:$A$251,MATCH($A140,'Raw Data'!$T$2:$T$251,0)))</f>
        <v/>
      </c>
      <c r="C140" s="46" t="str">
        <f>IF($A140="","",INDEX('Raw Data'!$B$2:$B$251,MATCH($A140,'Raw Data'!$T$2:$T$251,0)))</f>
        <v/>
      </c>
      <c r="D140" s="24" t="str">
        <f>IF($A140="","",INDEX('Raw Data'!$D$2:$D$251,MATCH($A140,'Raw Data'!$T$2:$T$251,0)))</f>
        <v/>
      </c>
      <c r="E140" s="24" t="str">
        <f>IF($A140="","",INDEX('Raw Data'!$F$2:$F$251,MATCH($A140,'Raw Data'!$T$2:$T$251,0)))</f>
        <v/>
      </c>
      <c r="F140" s="24" t="str">
        <f>IF($A140="","",INDEX('Raw Data'!$G$2:$G$251,MATCH($A140,'Raw Data'!$T$2:$T$251,0)))</f>
        <v/>
      </c>
      <c r="G140" s="24" t="str">
        <f>IF($A140="","",INDEX('Raw Data'!$K$2:$K$251,MATCH($A140,'Raw Data'!$T$2:$T$251,0)))</f>
        <v/>
      </c>
      <c r="H140" s="26" t="str">
        <f>IF($A140="","",INDEX('Raw Data'!$H$2:$H$251,MATCH($A140,'Raw Data'!$T$2:$T$251,0)))</f>
        <v/>
      </c>
      <c r="I140" s="38" t="str">
        <f>IF($A140="","",INDEX('Raw Data'!$N$2:$N$251,MATCH($A140,'Raw Data'!$T$2:$T$251,0)))</f>
        <v/>
      </c>
    </row>
    <row r="141" spans="1:9" x14ac:dyDescent="0.25">
      <c r="A141" s="23" t="str">
        <f>IF(132&lt;=$C$7,132,"")</f>
        <v/>
      </c>
      <c r="B141" s="24" t="str">
        <f>IF($A141="","",INDEX('Raw Data'!$A$2:$A$251,MATCH($A141,'Raw Data'!$T$2:$T$251,0)))</f>
        <v/>
      </c>
      <c r="C141" s="46" t="str">
        <f>IF($A141="","",INDEX('Raw Data'!$B$2:$B$251,MATCH($A141,'Raw Data'!$T$2:$T$251,0)))</f>
        <v/>
      </c>
      <c r="D141" s="24" t="str">
        <f>IF($A141="","",INDEX('Raw Data'!$D$2:$D$251,MATCH($A141,'Raw Data'!$T$2:$T$251,0)))</f>
        <v/>
      </c>
      <c r="E141" s="24" t="str">
        <f>IF($A141="","",INDEX('Raw Data'!$F$2:$F$251,MATCH($A141,'Raw Data'!$T$2:$T$251,0)))</f>
        <v/>
      </c>
      <c r="F141" s="24" t="str">
        <f>IF($A141="","",INDEX('Raw Data'!$G$2:$G$251,MATCH($A141,'Raw Data'!$T$2:$T$251,0)))</f>
        <v/>
      </c>
      <c r="G141" s="24" t="str">
        <f>IF($A141="","",INDEX('Raw Data'!$K$2:$K$251,MATCH($A141,'Raw Data'!$T$2:$T$251,0)))</f>
        <v/>
      </c>
      <c r="H141" s="26" t="str">
        <f>IF($A141="","",INDEX('Raw Data'!$H$2:$H$251,MATCH($A141,'Raw Data'!$T$2:$T$251,0)))</f>
        <v/>
      </c>
      <c r="I141" s="38" t="str">
        <f>IF($A141="","",INDEX('Raw Data'!$N$2:$N$251,MATCH($A141,'Raw Data'!$T$2:$T$251,0)))</f>
        <v/>
      </c>
    </row>
    <row r="142" spans="1:9" x14ac:dyDescent="0.25">
      <c r="A142" s="23" t="str">
        <f>IF(133&lt;=$C$7,133,"")</f>
        <v/>
      </c>
      <c r="B142" s="24" t="str">
        <f>IF($A142="","",INDEX('Raw Data'!$A$2:$A$251,MATCH($A142,'Raw Data'!$T$2:$T$251,0)))</f>
        <v/>
      </c>
      <c r="C142" s="46" t="str">
        <f>IF($A142="","",INDEX('Raw Data'!$B$2:$B$251,MATCH($A142,'Raw Data'!$T$2:$T$251,0)))</f>
        <v/>
      </c>
      <c r="D142" s="24" t="str">
        <f>IF($A142="","",INDEX('Raw Data'!$D$2:$D$251,MATCH($A142,'Raw Data'!$T$2:$T$251,0)))</f>
        <v/>
      </c>
      <c r="E142" s="24" t="str">
        <f>IF($A142="","",INDEX('Raw Data'!$F$2:$F$251,MATCH($A142,'Raw Data'!$T$2:$T$251,0)))</f>
        <v/>
      </c>
      <c r="F142" s="24" t="str">
        <f>IF($A142="","",INDEX('Raw Data'!$G$2:$G$251,MATCH($A142,'Raw Data'!$T$2:$T$251,0)))</f>
        <v/>
      </c>
      <c r="G142" s="24" t="str">
        <f>IF($A142="","",INDEX('Raw Data'!$K$2:$K$251,MATCH($A142,'Raw Data'!$T$2:$T$251,0)))</f>
        <v/>
      </c>
      <c r="H142" s="26" t="str">
        <f>IF($A142="","",INDEX('Raw Data'!$H$2:$H$251,MATCH($A142,'Raw Data'!$T$2:$T$251,0)))</f>
        <v/>
      </c>
      <c r="I142" s="38" t="str">
        <f>IF($A142="","",INDEX('Raw Data'!$N$2:$N$251,MATCH($A142,'Raw Data'!$T$2:$T$251,0)))</f>
        <v/>
      </c>
    </row>
    <row r="143" spans="1:9" x14ac:dyDescent="0.25">
      <c r="A143" s="23" t="str">
        <f>IF(134&lt;=$C$7,134,"")</f>
        <v/>
      </c>
      <c r="B143" s="24" t="str">
        <f>IF($A143="","",INDEX('Raw Data'!$A$2:$A$251,MATCH($A143,'Raw Data'!$T$2:$T$251,0)))</f>
        <v/>
      </c>
      <c r="C143" s="46" t="str">
        <f>IF($A143="","",INDEX('Raw Data'!$B$2:$B$251,MATCH($A143,'Raw Data'!$T$2:$T$251,0)))</f>
        <v/>
      </c>
      <c r="D143" s="24" t="str">
        <f>IF($A143="","",INDEX('Raw Data'!$D$2:$D$251,MATCH($A143,'Raw Data'!$T$2:$T$251,0)))</f>
        <v/>
      </c>
      <c r="E143" s="24" t="str">
        <f>IF($A143="","",INDEX('Raw Data'!$F$2:$F$251,MATCH($A143,'Raw Data'!$T$2:$T$251,0)))</f>
        <v/>
      </c>
      <c r="F143" s="24" t="str">
        <f>IF($A143="","",INDEX('Raw Data'!$G$2:$G$251,MATCH($A143,'Raw Data'!$T$2:$T$251,0)))</f>
        <v/>
      </c>
      <c r="G143" s="24" t="str">
        <f>IF($A143="","",INDEX('Raw Data'!$K$2:$K$251,MATCH($A143,'Raw Data'!$T$2:$T$251,0)))</f>
        <v/>
      </c>
      <c r="H143" s="26" t="str">
        <f>IF($A143="","",INDEX('Raw Data'!$H$2:$H$251,MATCH($A143,'Raw Data'!$T$2:$T$251,0)))</f>
        <v/>
      </c>
      <c r="I143" s="38" t="str">
        <f>IF($A143="","",INDEX('Raw Data'!$N$2:$N$251,MATCH($A143,'Raw Data'!$T$2:$T$251,0)))</f>
        <v/>
      </c>
    </row>
    <row r="144" spans="1:9" x14ac:dyDescent="0.25">
      <c r="A144" s="23" t="str">
        <f>IF(135&lt;=$C$7,135,"")</f>
        <v/>
      </c>
      <c r="B144" s="24" t="str">
        <f>IF($A144="","",INDEX('Raw Data'!$A$2:$A$251,MATCH($A144,'Raw Data'!$T$2:$T$251,0)))</f>
        <v/>
      </c>
      <c r="C144" s="46" t="str">
        <f>IF($A144="","",INDEX('Raw Data'!$B$2:$B$251,MATCH($A144,'Raw Data'!$T$2:$T$251,0)))</f>
        <v/>
      </c>
      <c r="D144" s="24" t="str">
        <f>IF($A144="","",INDEX('Raw Data'!$D$2:$D$251,MATCH($A144,'Raw Data'!$T$2:$T$251,0)))</f>
        <v/>
      </c>
      <c r="E144" s="24" t="str">
        <f>IF($A144="","",INDEX('Raw Data'!$F$2:$F$251,MATCH($A144,'Raw Data'!$T$2:$T$251,0)))</f>
        <v/>
      </c>
      <c r="F144" s="24" t="str">
        <f>IF($A144="","",INDEX('Raw Data'!$G$2:$G$251,MATCH($A144,'Raw Data'!$T$2:$T$251,0)))</f>
        <v/>
      </c>
      <c r="G144" s="24" t="str">
        <f>IF($A144="","",INDEX('Raw Data'!$K$2:$K$251,MATCH($A144,'Raw Data'!$T$2:$T$251,0)))</f>
        <v/>
      </c>
      <c r="H144" s="26" t="str">
        <f>IF($A144="","",INDEX('Raw Data'!$H$2:$H$251,MATCH($A144,'Raw Data'!$T$2:$T$251,0)))</f>
        <v/>
      </c>
      <c r="I144" s="38" t="str">
        <f>IF($A144="","",INDEX('Raw Data'!$N$2:$N$251,MATCH($A144,'Raw Data'!$T$2:$T$251,0)))</f>
        <v/>
      </c>
    </row>
    <row r="145" spans="1:9" x14ac:dyDescent="0.25">
      <c r="A145" s="23" t="str">
        <f>IF(136&lt;=$C$7,136,"")</f>
        <v/>
      </c>
      <c r="B145" s="24" t="str">
        <f>IF($A145="","",INDEX('Raw Data'!$A$2:$A$251,MATCH($A145,'Raw Data'!$T$2:$T$251,0)))</f>
        <v/>
      </c>
      <c r="C145" s="46" t="str">
        <f>IF($A145="","",INDEX('Raw Data'!$B$2:$B$251,MATCH($A145,'Raw Data'!$T$2:$T$251,0)))</f>
        <v/>
      </c>
      <c r="D145" s="24" t="str">
        <f>IF($A145="","",INDEX('Raw Data'!$D$2:$D$251,MATCH($A145,'Raw Data'!$T$2:$T$251,0)))</f>
        <v/>
      </c>
      <c r="E145" s="24" t="str">
        <f>IF($A145="","",INDEX('Raw Data'!$F$2:$F$251,MATCH($A145,'Raw Data'!$T$2:$T$251,0)))</f>
        <v/>
      </c>
      <c r="F145" s="24" t="str">
        <f>IF($A145="","",INDEX('Raw Data'!$G$2:$G$251,MATCH($A145,'Raw Data'!$T$2:$T$251,0)))</f>
        <v/>
      </c>
      <c r="G145" s="24" t="str">
        <f>IF($A145="","",INDEX('Raw Data'!$K$2:$K$251,MATCH($A145,'Raw Data'!$T$2:$T$251,0)))</f>
        <v/>
      </c>
      <c r="H145" s="26" t="str">
        <f>IF($A145="","",INDEX('Raw Data'!$H$2:$H$251,MATCH($A145,'Raw Data'!$T$2:$T$251,0)))</f>
        <v/>
      </c>
      <c r="I145" s="38" t="str">
        <f>IF($A145="","",INDEX('Raw Data'!$N$2:$N$251,MATCH($A145,'Raw Data'!$T$2:$T$251,0)))</f>
        <v/>
      </c>
    </row>
    <row r="146" spans="1:9" x14ac:dyDescent="0.25">
      <c r="A146" s="23" t="str">
        <f>IF(137&lt;=$C$7,137,"")</f>
        <v/>
      </c>
      <c r="B146" s="24" t="str">
        <f>IF($A146="","",INDEX('Raw Data'!$A$2:$A$251,MATCH($A146,'Raw Data'!$T$2:$T$251,0)))</f>
        <v/>
      </c>
      <c r="C146" s="46" t="str">
        <f>IF($A146="","",INDEX('Raw Data'!$B$2:$B$251,MATCH($A146,'Raw Data'!$T$2:$T$251,0)))</f>
        <v/>
      </c>
      <c r="D146" s="24" t="str">
        <f>IF($A146="","",INDEX('Raw Data'!$D$2:$D$251,MATCH($A146,'Raw Data'!$T$2:$T$251,0)))</f>
        <v/>
      </c>
      <c r="E146" s="24" t="str">
        <f>IF($A146="","",INDEX('Raw Data'!$F$2:$F$251,MATCH($A146,'Raw Data'!$T$2:$T$251,0)))</f>
        <v/>
      </c>
      <c r="F146" s="24" t="str">
        <f>IF($A146="","",INDEX('Raw Data'!$G$2:$G$251,MATCH($A146,'Raw Data'!$T$2:$T$251,0)))</f>
        <v/>
      </c>
      <c r="G146" s="24" t="str">
        <f>IF($A146="","",INDEX('Raw Data'!$K$2:$K$251,MATCH($A146,'Raw Data'!$T$2:$T$251,0)))</f>
        <v/>
      </c>
      <c r="H146" s="26" t="str">
        <f>IF($A146="","",INDEX('Raw Data'!$H$2:$H$251,MATCH($A146,'Raw Data'!$T$2:$T$251,0)))</f>
        <v/>
      </c>
      <c r="I146" s="38" t="str">
        <f>IF($A146="","",INDEX('Raw Data'!$N$2:$N$251,MATCH($A146,'Raw Data'!$T$2:$T$251,0)))</f>
        <v/>
      </c>
    </row>
    <row r="147" spans="1:9" x14ac:dyDescent="0.25">
      <c r="A147" s="23" t="str">
        <f>IF(138&lt;=$C$7,138,"")</f>
        <v/>
      </c>
      <c r="B147" s="24" t="str">
        <f>IF($A147="","",INDEX('Raw Data'!$A$2:$A$251,MATCH($A147,'Raw Data'!$T$2:$T$251,0)))</f>
        <v/>
      </c>
      <c r="C147" s="46" t="str">
        <f>IF($A147="","",INDEX('Raw Data'!$B$2:$B$251,MATCH($A147,'Raw Data'!$T$2:$T$251,0)))</f>
        <v/>
      </c>
      <c r="D147" s="24" t="str">
        <f>IF($A147="","",INDEX('Raw Data'!$D$2:$D$251,MATCH($A147,'Raw Data'!$T$2:$T$251,0)))</f>
        <v/>
      </c>
      <c r="E147" s="24" t="str">
        <f>IF($A147="","",INDEX('Raw Data'!$F$2:$F$251,MATCH($A147,'Raw Data'!$T$2:$T$251,0)))</f>
        <v/>
      </c>
      <c r="F147" s="24" t="str">
        <f>IF($A147="","",INDEX('Raw Data'!$G$2:$G$251,MATCH($A147,'Raw Data'!$T$2:$T$251,0)))</f>
        <v/>
      </c>
      <c r="G147" s="24" t="str">
        <f>IF($A147="","",INDEX('Raw Data'!$K$2:$K$251,MATCH($A147,'Raw Data'!$T$2:$T$251,0)))</f>
        <v/>
      </c>
      <c r="H147" s="26" t="str">
        <f>IF($A147="","",INDEX('Raw Data'!$H$2:$H$251,MATCH($A147,'Raw Data'!$T$2:$T$251,0)))</f>
        <v/>
      </c>
      <c r="I147" s="38" t="str">
        <f>IF($A147="","",INDEX('Raw Data'!$N$2:$N$251,MATCH($A147,'Raw Data'!$T$2:$T$251,0)))</f>
        <v/>
      </c>
    </row>
    <row r="148" spans="1:9" x14ac:dyDescent="0.25">
      <c r="A148" s="23" t="str">
        <f>IF(139&lt;=$C$7,139,"")</f>
        <v/>
      </c>
      <c r="B148" s="24" t="str">
        <f>IF($A148="","",INDEX('Raw Data'!$A$2:$A$251,MATCH($A148,'Raw Data'!$T$2:$T$251,0)))</f>
        <v/>
      </c>
      <c r="C148" s="46" t="str">
        <f>IF($A148="","",INDEX('Raw Data'!$B$2:$B$251,MATCH($A148,'Raw Data'!$T$2:$T$251,0)))</f>
        <v/>
      </c>
      <c r="D148" s="24" t="str">
        <f>IF($A148="","",INDEX('Raw Data'!$D$2:$D$251,MATCH($A148,'Raw Data'!$T$2:$T$251,0)))</f>
        <v/>
      </c>
      <c r="E148" s="24" t="str">
        <f>IF($A148="","",INDEX('Raw Data'!$F$2:$F$251,MATCH($A148,'Raw Data'!$T$2:$T$251,0)))</f>
        <v/>
      </c>
      <c r="F148" s="24" t="str">
        <f>IF($A148="","",INDEX('Raw Data'!$G$2:$G$251,MATCH($A148,'Raw Data'!$T$2:$T$251,0)))</f>
        <v/>
      </c>
      <c r="G148" s="24" t="str">
        <f>IF($A148="","",INDEX('Raw Data'!$K$2:$K$251,MATCH($A148,'Raw Data'!$T$2:$T$251,0)))</f>
        <v/>
      </c>
      <c r="H148" s="26" t="str">
        <f>IF($A148="","",INDEX('Raw Data'!$H$2:$H$251,MATCH($A148,'Raw Data'!$T$2:$T$251,0)))</f>
        <v/>
      </c>
      <c r="I148" s="38" t="str">
        <f>IF($A148="","",INDEX('Raw Data'!$N$2:$N$251,MATCH($A148,'Raw Data'!$T$2:$T$251,0)))</f>
        <v/>
      </c>
    </row>
    <row r="149" spans="1:9" x14ac:dyDescent="0.25">
      <c r="A149" s="23" t="str">
        <f>IF(140&lt;=$C$7,140,"")</f>
        <v/>
      </c>
      <c r="B149" s="24" t="str">
        <f>IF($A149="","",INDEX('Raw Data'!$A$2:$A$251,MATCH($A149,'Raw Data'!$T$2:$T$251,0)))</f>
        <v/>
      </c>
      <c r="C149" s="46" t="str">
        <f>IF($A149="","",INDEX('Raw Data'!$B$2:$B$251,MATCH($A149,'Raw Data'!$T$2:$T$251,0)))</f>
        <v/>
      </c>
      <c r="D149" s="24" t="str">
        <f>IF($A149="","",INDEX('Raw Data'!$D$2:$D$251,MATCH($A149,'Raw Data'!$T$2:$T$251,0)))</f>
        <v/>
      </c>
      <c r="E149" s="24" t="str">
        <f>IF($A149="","",INDEX('Raw Data'!$F$2:$F$251,MATCH($A149,'Raw Data'!$T$2:$T$251,0)))</f>
        <v/>
      </c>
      <c r="F149" s="24" t="str">
        <f>IF($A149="","",INDEX('Raw Data'!$G$2:$G$251,MATCH($A149,'Raw Data'!$T$2:$T$251,0)))</f>
        <v/>
      </c>
      <c r="G149" s="24" t="str">
        <f>IF($A149="","",INDEX('Raw Data'!$K$2:$K$251,MATCH($A149,'Raw Data'!$T$2:$T$251,0)))</f>
        <v/>
      </c>
      <c r="H149" s="26" t="str">
        <f>IF($A149="","",INDEX('Raw Data'!$H$2:$H$251,MATCH($A149,'Raw Data'!$T$2:$T$251,0)))</f>
        <v/>
      </c>
      <c r="I149" s="38" t="str">
        <f>IF($A149="","",INDEX('Raw Data'!$N$2:$N$251,MATCH($A149,'Raw Data'!$T$2:$T$251,0)))</f>
        <v/>
      </c>
    </row>
    <row r="150" spans="1:9" x14ac:dyDescent="0.25">
      <c r="A150" s="23" t="str">
        <f>IF(141&lt;=$C$7,141,"")</f>
        <v/>
      </c>
      <c r="B150" s="24" t="str">
        <f>IF($A150="","",INDEX('Raw Data'!$A$2:$A$251,MATCH($A150,'Raw Data'!$T$2:$T$251,0)))</f>
        <v/>
      </c>
      <c r="C150" s="46" t="str">
        <f>IF($A150="","",INDEX('Raw Data'!$B$2:$B$251,MATCH($A150,'Raw Data'!$T$2:$T$251,0)))</f>
        <v/>
      </c>
      <c r="D150" s="24" t="str">
        <f>IF($A150="","",INDEX('Raw Data'!$D$2:$D$251,MATCH($A150,'Raw Data'!$T$2:$T$251,0)))</f>
        <v/>
      </c>
      <c r="E150" s="24" t="str">
        <f>IF($A150="","",INDEX('Raw Data'!$F$2:$F$251,MATCH($A150,'Raw Data'!$T$2:$T$251,0)))</f>
        <v/>
      </c>
      <c r="F150" s="24" t="str">
        <f>IF($A150="","",INDEX('Raw Data'!$G$2:$G$251,MATCH($A150,'Raw Data'!$T$2:$T$251,0)))</f>
        <v/>
      </c>
      <c r="G150" s="24" t="str">
        <f>IF($A150="","",INDEX('Raw Data'!$K$2:$K$251,MATCH($A150,'Raw Data'!$T$2:$T$251,0)))</f>
        <v/>
      </c>
      <c r="H150" s="26" t="str">
        <f>IF($A150="","",INDEX('Raw Data'!$H$2:$H$251,MATCH($A150,'Raw Data'!$T$2:$T$251,0)))</f>
        <v/>
      </c>
      <c r="I150" s="38" t="str">
        <f>IF($A150="","",INDEX('Raw Data'!$N$2:$N$251,MATCH($A150,'Raw Data'!$T$2:$T$251,0)))</f>
        <v/>
      </c>
    </row>
    <row r="151" spans="1:9" x14ac:dyDescent="0.25">
      <c r="A151" s="23" t="str">
        <f>IF(142&lt;=$C$7,142,"")</f>
        <v/>
      </c>
      <c r="B151" s="24" t="str">
        <f>IF($A151="","",INDEX('Raw Data'!$A$2:$A$251,MATCH($A151,'Raw Data'!$T$2:$T$251,0)))</f>
        <v/>
      </c>
      <c r="C151" s="46" t="str">
        <f>IF($A151="","",INDEX('Raw Data'!$B$2:$B$251,MATCH($A151,'Raw Data'!$T$2:$T$251,0)))</f>
        <v/>
      </c>
      <c r="D151" s="24" t="str">
        <f>IF($A151="","",INDEX('Raw Data'!$D$2:$D$251,MATCH($A151,'Raw Data'!$T$2:$T$251,0)))</f>
        <v/>
      </c>
      <c r="E151" s="24" t="str">
        <f>IF($A151="","",INDEX('Raw Data'!$F$2:$F$251,MATCH($A151,'Raw Data'!$T$2:$T$251,0)))</f>
        <v/>
      </c>
      <c r="F151" s="24" t="str">
        <f>IF($A151="","",INDEX('Raw Data'!$G$2:$G$251,MATCH($A151,'Raw Data'!$T$2:$T$251,0)))</f>
        <v/>
      </c>
      <c r="G151" s="24" t="str">
        <f>IF($A151="","",INDEX('Raw Data'!$K$2:$K$251,MATCH($A151,'Raw Data'!$T$2:$T$251,0)))</f>
        <v/>
      </c>
      <c r="H151" s="26" t="str">
        <f>IF($A151="","",INDEX('Raw Data'!$H$2:$H$251,MATCH($A151,'Raw Data'!$T$2:$T$251,0)))</f>
        <v/>
      </c>
      <c r="I151" s="38" t="str">
        <f>IF($A151="","",INDEX('Raw Data'!$N$2:$N$251,MATCH($A151,'Raw Data'!$T$2:$T$251,0)))</f>
        <v/>
      </c>
    </row>
    <row r="152" spans="1:9" x14ac:dyDescent="0.25">
      <c r="A152" s="23" t="str">
        <f>IF(143&lt;=$C$7,143,"")</f>
        <v/>
      </c>
      <c r="B152" s="24" t="str">
        <f>IF($A152="","",INDEX('Raw Data'!$A$2:$A$251,MATCH($A152,'Raw Data'!$T$2:$T$251,0)))</f>
        <v/>
      </c>
      <c r="C152" s="46" t="str">
        <f>IF($A152="","",INDEX('Raw Data'!$B$2:$B$251,MATCH($A152,'Raw Data'!$T$2:$T$251,0)))</f>
        <v/>
      </c>
      <c r="D152" s="24" t="str">
        <f>IF($A152="","",INDEX('Raw Data'!$D$2:$D$251,MATCH($A152,'Raw Data'!$T$2:$T$251,0)))</f>
        <v/>
      </c>
      <c r="E152" s="24" t="str">
        <f>IF($A152="","",INDEX('Raw Data'!$F$2:$F$251,MATCH($A152,'Raw Data'!$T$2:$T$251,0)))</f>
        <v/>
      </c>
      <c r="F152" s="24" t="str">
        <f>IF($A152="","",INDEX('Raw Data'!$G$2:$G$251,MATCH($A152,'Raw Data'!$T$2:$T$251,0)))</f>
        <v/>
      </c>
      <c r="G152" s="24" t="str">
        <f>IF($A152="","",INDEX('Raw Data'!$K$2:$K$251,MATCH($A152,'Raw Data'!$T$2:$T$251,0)))</f>
        <v/>
      </c>
      <c r="H152" s="26" t="str">
        <f>IF($A152="","",INDEX('Raw Data'!$H$2:$H$251,MATCH($A152,'Raw Data'!$T$2:$T$251,0)))</f>
        <v/>
      </c>
      <c r="I152" s="38" t="str">
        <f>IF($A152="","",INDEX('Raw Data'!$N$2:$N$251,MATCH($A152,'Raw Data'!$T$2:$T$251,0)))</f>
        <v/>
      </c>
    </row>
    <row r="153" spans="1:9" x14ac:dyDescent="0.25">
      <c r="A153" s="23" t="str">
        <f>IF(144&lt;=$C$7,144,"")</f>
        <v/>
      </c>
      <c r="B153" s="24" t="str">
        <f>IF($A153="","",INDEX('Raw Data'!$A$2:$A$251,MATCH($A153,'Raw Data'!$T$2:$T$251,0)))</f>
        <v/>
      </c>
      <c r="C153" s="46" t="str">
        <f>IF($A153="","",INDEX('Raw Data'!$B$2:$B$251,MATCH($A153,'Raw Data'!$T$2:$T$251,0)))</f>
        <v/>
      </c>
      <c r="D153" s="24" t="str">
        <f>IF($A153="","",INDEX('Raw Data'!$D$2:$D$251,MATCH($A153,'Raw Data'!$T$2:$T$251,0)))</f>
        <v/>
      </c>
      <c r="E153" s="24" t="str">
        <f>IF($A153="","",INDEX('Raw Data'!$F$2:$F$251,MATCH($A153,'Raw Data'!$T$2:$T$251,0)))</f>
        <v/>
      </c>
      <c r="F153" s="24" t="str">
        <f>IF($A153="","",INDEX('Raw Data'!$G$2:$G$251,MATCH($A153,'Raw Data'!$T$2:$T$251,0)))</f>
        <v/>
      </c>
      <c r="G153" s="24" t="str">
        <f>IF($A153="","",INDEX('Raw Data'!$K$2:$K$251,MATCH($A153,'Raw Data'!$T$2:$T$251,0)))</f>
        <v/>
      </c>
      <c r="H153" s="26" t="str">
        <f>IF($A153="","",INDEX('Raw Data'!$H$2:$H$251,MATCH($A153,'Raw Data'!$T$2:$T$251,0)))</f>
        <v/>
      </c>
      <c r="I153" s="38" t="str">
        <f>IF($A153="","",INDEX('Raw Data'!$N$2:$N$251,MATCH($A153,'Raw Data'!$T$2:$T$251,0)))</f>
        <v/>
      </c>
    </row>
    <row r="154" spans="1:9" x14ac:dyDescent="0.25">
      <c r="A154" s="23" t="str">
        <f>IF(145&lt;=$C$7,145,"")</f>
        <v/>
      </c>
      <c r="B154" s="24" t="str">
        <f>IF($A154="","",INDEX('Raw Data'!$A$2:$A$251,MATCH($A154,'Raw Data'!$T$2:$T$251,0)))</f>
        <v/>
      </c>
      <c r="C154" s="46" t="str">
        <f>IF($A154="","",INDEX('Raw Data'!$B$2:$B$251,MATCH($A154,'Raw Data'!$T$2:$T$251,0)))</f>
        <v/>
      </c>
      <c r="D154" s="24" t="str">
        <f>IF($A154="","",INDEX('Raw Data'!$D$2:$D$251,MATCH($A154,'Raw Data'!$T$2:$T$251,0)))</f>
        <v/>
      </c>
      <c r="E154" s="24" t="str">
        <f>IF($A154="","",INDEX('Raw Data'!$F$2:$F$251,MATCH($A154,'Raw Data'!$T$2:$T$251,0)))</f>
        <v/>
      </c>
      <c r="F154" s="24" t="str">
        <f>IF($A154="","",INDEX('Raw Data'!$G$2:$G$251,MATCH($A154,'Raw Data'!$T$2:$T$251,0)))</f>
        <v/>
      </c>
      <c r="G154" s="24" t="str">
        <f>IF($A154="","",INDEX('Raw Data'!$K$2:$K$251,MATCH($A154,'Raw Data'!$T$2:$T$251,0)))</f>
        <v/>
      </c>
      <c r="H154" s="26" t="str">
        <f>IF($A154="","",INDEX('Raw Data'!$H$2:$H$251,MATCH($A154,'Raw Data'!$T$2:$T$251,0)))</f>
        <v/>
      </c>
      <c r="I154" s="38" t="str">
        <f>IF($A154="","",INDEX('Raw Data'!$N$2:$N$251,MATCH($A154,'Raw Data'!$T$2:$T$251,0)))</f>
        <v/>
      </c>
    </row>
    <row r="155" spans="1:9" x14ac:dyDescent="0.25">
      <c r="A155" s="23" t="str">
        <f>IF(146&lt;=$C$7,146,"")</f>
        <v/>
      </c>
      <c r="B155" s="24" t="str">
        <f>IF($A155="","",INDEX('Raw Data'!$A$2:$A$251,MATCH($A155,'Raw Data'!$T$2:$T$251,0)))</f>
        <v/>
      </c>
      <c r="C155" s="46" t="str">
        <f>IF($A155="","",INDEX('Raw Data'!$B$2:$B$251,MATCH($A155,'Raw Data'!$T$2:$T$251,0)))</f>
        <v/>
      </c>
      <c r="D155" s="24" t="str">
        <f>IF($A155="","",INDEX('Raw Data'!$D$2:$D$251,MATCH($A155,'Raw Data'!$T$2:$T$251,0)))</f>
        <v/>
      </c>
      <c r="E155" s="24" t="str">
        <f>IF($A155="","",INDEX('Raw Data'!$F$2:$F$251,MATCH($A155,'Raw Data'!$T$2:$T$251,0)))</f>
        <v/>
      </c>
      <c r="F155" s="24" t="str">
        <f>IF($A155="","",INDEX('Raw Data'!$G$2:$G$251,MATCH($A155,'Raw Data'!$T$2:$T$251,0)))</f>
        <v/>
      </c>
      <c r="G155" s="24" t="str">
        <f>IF($A155="","",INDEX('Raw Data'!$K$2:$K$251,MATCH($A155,'Raw Data'!$T$2:$T$251,0)))</f>
        <v/>
      </c>
      <c r="H155" s="26" t="str">
        <f>IF($A155="","",INDEX('Raw Data'!$H$2:$H$251,MATCH($A155,'Raw Data'!$T$2:$T$251,0)))</f>
        <v/>
      </c>
      <c r="I155" s="38" t="str">
        <f>IF($A155="","",INDEX('Raw Data'!$N$2:$N$251,MATCH($A155,'Raw Data'!$T$2:$T$251,0)))</f>
        <v/>
      </c>
    </row>
    <row r="156" spans="1:9" x14ac:dyDescent="0.25">
      <c r="A156" s="23" t="str">
        <f>IF(147&lt;=$C$7,147,"")</f>
        <v/>
      </c>
      <c r="B156" s="24" t="str">
        <f>IF($A156="","",INDEX('Raw Data'!$A$2:$A$251,MATCH($A156,'Raw Data'!$T$2:$T$251,0)))</f>
        <v/>
      </c>
      <c r="C156" s="46" t="str">
        <f>IF($A156="","",INDEX('Raw Data'!$B$2:$B$251,MATCH($A156,'Raw Data'!$T$2:$T$251,0)))</f>
        <v/>
      </c>
      <c r="D156" s="24" t="str">
        <f>IF($A156="","",INDEX('Raw Data'!$D$2:$D$251,MATCH($A156,'Raw Data'!$T$2:$T$251,0)))</f>
        <v/>
      </c>
      <c r="E156" s="24" t="str">
        <f>IF($A156="","",INDEX('Raw Data'!$F$2:$F$251,MATCH($A156,'Raw Data'!$T$2:$T$251,0)))</f>
        <v/>
      </c>
      <c r="F156" s="24" t="str">
        <f>IF($A156="","",INDEX('Raw Data'!$G$2:$G$251,MATCH($A156,'Raw Data'!$T$2:$T$251,0)))</f>
        <v/>
      </c>
      <c r="G156" s="24" t="str">
        <f>IF($A156="","",INDEX('Raw Data'!$K$2:$K$251,MATCH($A156,'Raw Data'!$T$2:$T$251,0)))</f>
        <v/>
      </c>
      <c r="H156" s="26" t="str">
        <f>IF($A156="","",INDEX('Raw Data'!$H$2:$H$251,MATCH($A156,'Raw Data'!$T$2:$T$251,0)))</f>
        <v/>
      </c>
      <c r="I156" s="38" t="str">
        <f>IF($A156="","",INDEX('Raw Data'!$N$2:$N$251,MATCH($A156,'Raw Data'!$T$2:$T$251,0)))</f>
        <v/>
      </c>
    </row>
    <row r="157" spans="1:9" x14ac:dyDescent="0.25">
      <c r="A157" s="23" t="str">
        <f>IF(148&lt;=$C$7,148,"")</f>
        <v/>
      </c>
      <c r="B157" s="24" t="str">
        <f>IF($A157="","",INDEX('Raw Data'!$A$2:$A$251,MATCH($A157,'Raw Data'!$T$2:$T$251,0)))</f>
        <v/>
      </c>
      <c r="C157" s="46" t="str">
        <f>IF($A157="","",INDEX('Raw Data'!$B$2:$B$251,MATCH($A157,'Raw Data'!$T$2:$T$251,0)))</f>
        <v/>
      </c>
      <c r="D157" s="24" t="str">
        <f>IF($A157="","",INDEX('Raw Data'!$D$2:$D$251,MATCH($A157,'Raw Data'!$T$2:$T$251,0)))</f>
        <v/>
      </c>
      <c r="E157" s="24" t="str">
        <f>IF($A157="","",INDEX('Raw Data'!$F$2:$F$251,MATCH($A157,'Raw Data'!$T$2:$T$251,0)))</f>
        <v/>
      </c>
      <c r="F157" s="24" t="str">
        <f>IF($A157="","",INDEX('Raw Data'!$G$2:$G$251,MATCH($A157,'Raw Data'!$T$2:$T$251,0)))</f>
        <v/>
      </c>
      <c r="G157" s="24" t="str">
        <f>IF($A157="","",INDEX('Raw Data'!$K$2:$K$251,MATCH($A157,'Raw Data'!$T$2:$T$251,0)))</f>
        <v/>
      </c>
      <c r="H157" s="26" t="str">
        <f>IF($A157="","",INDEX('Raw Data'!$H$2:$H$251,MATCH($A157,'Raw Data'!$T$2:$T$251,0)))</f>
        <v/>
      </c>
      <c r="I157" s="38" t="str">
        <f>IF($A157="","",INDEX('Raw Data'!$N$2:$N$251,MATCH($A157,'Raw Data'!$T$2:$T$251,0)))</f>
        <v/>
      </c>
    </row>
    <row r="158" spans="1:9" x14ac:dyDescent="0.25">
      <c r="A158" s="23" t="str">
        <f>IF(149&lt;=$C$7,149,"")</f>
        <v/>
      </c>
      <c r="B158" s="24" t="str">
        <f>IF($A158="","",INDEX('Raw Data'!$A$2:$A$251,MATCH($A158,'Raw Data'!$T$2:$T$251,0)))</f>
        <v/>
      </c>
      <c r="C158" s="46" t="str">
        <f>IF($A158="","",INDEX('Raw Data'!$B$2:$B$251,MATCH($A158,'Raw Data'!$T$2:$T$251,0)))</f>
        <v/>
      </c>
      <c r="D158" s="24" t="str">
        <f>IF($A158="","",INDEX('Raw Data'!$D$2:$D$251,MATCH($A158,'Raw Data'!$T$2:$T$251,0)))</f>
        <v/>
      </c>
      <c r="E158" s="24" t="str">
        <f>IF($A158="","",INDEX('Raw Data'!$F$2:$F$251,MATCH($A158,'Raw Data'!$T$2:$T$251,0)))</f>
        <v/>
      </c>
      <c r="F158" s="24" t="str">
        <f>IF($A158="","",INDEX('Raw Data'!$G$2:$G$251,MATCH($A158,'Raw Data'!$T$2:$T$251,0)))</f>
        <v/>
      </c>
      <c r="G158" s="24" t="str">
        <f>IF($A158="","",INDEX('Raw Data'!$K$2:$K$251,MATCH($A158,'Raw Data'!$T$2:$T$251,0)))</f>
        <v/>
      </c>
      <c r="H158" s="26" t="str">
        <f>IF($A158="","",INDEX('Raw Data'!$H$2:$H$251,MATCH($A158,'Raw Data'!$T$2:$T$251,0)))</f>
        <v/>
      </c>
      <c r="I158" s="38" t="str">
        <f>IF($A158="","",INDEX('Raw Data'!$N$2:$N$251,MATCH($A158,'Raw Data'!$T$2:$T$251,0)))</f>
        <v/>
      </c>
    </row>
    <row r="159" spans="1:9" x14ac:dyDescent="0.25">
      <c r="A159" s="23" t="str">
        <f>IF(150&lt;=$C$7,150,"")</f>
        <v/>
      </c>
      <c r="B159" s="24" t="str">
        <f>IF($A159="","",INDEX('Raw Data'!$A$2:$A$251,MATCH($A159,'Raw Data'!$T$2:$T$251,0)))</f>
        <v/>
      </c>
      <c r="C159" s="46" t="str">
        <f>IF($A159="","",INDEX('Raw Data'!$B$2:$B$251,MATCH($A159,'Raw Data'!$T$2:$T$251,0)))</f>
        <v/>
      </c>
      <c r="D159" s="24" t="str">
        <f>IF($A159="","",INDEX('Raw Data'!$D$2:$D$251,MATCH($A159,'Raw Data'!$T$2:$T$251,0)))</f>
        <v/>
      </c>
      <c r="E159" s="24" t="str">
        <f>IF($A159="","",INDEX('Raw Data'!$F$2:$F$251,MATCH($A159,'Raw Data'!$T$2:$T$251,0)))</f>
        <v/>
      </c>
      <c r="F159" s="24" t="str">
        <f>IF($A159="","",INDEX('Raw Data'!$G$2:$G$251,MATCH($A159,'Raw Data'!$T$2:$T$251,0)))</f>
        <v/>
      </c>
      <c r="G159" s="24" t="str">
        <f>IF($A159="","",INDEX('Raw Data'!$K$2:$K$251,MATCH($A159,'Raw Data'!$T$2:$T$251,0)))</f>
        <v/>
      </c>
      <c r="H159" s="26" t="str">
        <f>IF($A159="","",INDEX('Raw Data'!$H$2:$H$251,MATCH($A159,'Raw Data'!$T$2:$T$251,0)))</f>
        <v/>
      </c>
      <c r="I159" s="38" t="str">
        <f>IF($A159="","",INDEX('Raw Data'!$N$2:$N$251,MATCH($A159,'Raw Data'!$T$2:$T$251,0)))</f>
        <v/>
      </c>
    </row>
    <row r="160" spans="1:9" x14ac:dyDescent="0.25">
      <c r="A160" s="23" t="str">
        <f>IF(151&lt;=$C$7,151,"")</f>
        <v/>
      </c>
      <c r="B160" s="24" t="str">
        <f>IF($A160="","",INDEX('Raw Data'!$A$2:$A$251,MATCH($A160,'Raw Data'!$T$2:$T$251,0)))</f>
        <v/>
      </c>
      <c r="C160" s="46" t="str">
        <f>IF($A160="","",INDEX('Raw Data'!$B$2:$B$251,MATCH($A160,'Raw Data'!$T$2:$T$251,0)))</f>
        <v/>
      </c>
      <c r="D160" s="24" t="str">
        <f>IF($A160="","",INDEX('Raw Data'!$D$2:$D$251,MATCH($A160,'Raw Data'!$T$2:$T$251,0)))</f>
        <v/>
      </c>
      <c r="E160" s="24" t="str">
        <f>IF($A160="","",INDEX('Raw Data'!$F$2:$F$251,MATCH($A160,'Raw Data'!$T$2:$T$251,0)))</f>
        <v/>
      </c>
      <c r="F160" s="24" t="str">
        <f>IF($A160="","",INDEX('Raw Data'!$G$2:$G$251,MATCH($A160,'Raw Data'!$T$2:$T$251,0)))</f>
        <v/>
      </c>
      <c r="G160" s="24" t="str">
        <f>IF($A160="","",INDEX('Raw Data'!$K$2:$K$251,MATCH($A160,'Raw Data'!$T$2:$T$251,0)))</f>
        <v/>
      </c>
      <c r="H160" s="26" t="str">
        <f>IF($A160="","",INDEX('Raw Data'!$H$2:$H$251,MATCH($A160,'Raw Data'!$T$2:$T$251,0)))</f>
        <v/>
      </c>
      <c r="I160" s="38" t="str">
        <f>IF($A160="","",INDEX('Raw Data'!$N$2:$N$251,MATCH($A160,'Raw Data'!$T$2:$T$251,0)))</f>
        <v/>
      </c>
    </row>
    <row r="161" spans="1:9" x14ac:dyDescent="0.25">
      <c r="A161" s="23" t="str">
        <f>IF(152&lt;=$C$7,152,"")</f>
        <v/>
      </c>
      <c r="B161" s="24" t="str">
        <f>IF($A161="","",INDEX('Raw Data'!$A$2:$A$251,MATCH($A161,'Raw Data'!$T$2:$T$251,0)))</f>
        <v/>
      </c>
      <c r="C161" s="46" t="str">
        <f>IF($A161="","",INDEX('Raw Data'!$B$2:$B$251,MATCH($A161,'Raw Data'!$T$2:$T$251,0)))</f>
        <v/>
      </c>
      <c r="D161" s="24" t="str">
        <f>IF($A161="","",INDEX('Raw Data'!$D$2:$D$251,MATCH($A161,'Raw Data'!$T$2:$T$251,0)))</f>
        <v/>
      </c>
      <c r="E161" s="24" t="str">
        <f>IF($A161="","",INDEX('Raw Data'!$F$2:$F$251,MATCH($A161,'Raw Data'!$T$2:$T$251,0)))</f>
        <v/>
      </c>
      <c r="F161" s="24" t="str">
        <f>IF($A161="","",INDEX('Raw Data'!$G$2:$G$251,MATCH($A161,'Raw Data'!$T$2:$T$251,0)))</f>
        <v/>
      </c>
      <c r="G161" s="24" t="str">
        <f>IF($A161="","",INDEX('Raw Data'!$K$2:$K$251,MATCH($A161,'Raw Data'!$T$2:$T$251,0)))</f>
        <v/>
      </c>
      <c r="H161" s="26" t="str">
        <f>IF($A161="","",INDEX('Raw Data'!$H$2:$H$251,MATCH($A161,'Raw Data'!$T$2:$T$251,0)))</f>
        <v/>
      </c>
      <c r="I161" s="38" t="str">
        <f>IF($A161="","",INDEX('Raw Data'!$N$2:$N$251,MATCH($A161,'Raw Data'!$T$2:$T$251,0)))</f>
        <v/>
      </c>
    </row>
    <row r="162" spans="1:9" x14ac:dyDescent="0.25">
      <c r="A162" s="23" t="str">
        <f>IF(153&lt;=$C$7,153,"")</f>
        <v/>
      </c>
      <c r="B162" s="24" t="str">
        <f>IF($A162="","",INDEX('Raw Data'!$A$2:$A$251,MATCH($A162,'Raw Data'!$T$2:$T$251,0)))</f>
        <v/>
      </c>
      <c r="C162" s="46" t="str">
        <f>IF($A162="","",INDEX('Raw Data'!$B$2:$B$251,MATCH($A162,'Raw Data'!$T$2:$T$251,0)))</f>
        <v/>
      </c>
      <c r="D162" s="24" t="str">
        <f>IF($A162="","",INDEX('Raw Data'!$D$2:$D$251,MATCH($A162,'Raw Data'!$T$2:$T$251,0)))</f>
        <v/>
      </c>
      <c r="E162" s="24" t="str">
        <f>IF($A162="","",INDEX('Raw Data'!$F$2:$F$251,MATCH($A162,'Raw Data'!$T$2:$T$251,0)))</f>
        <v/>
      </c>
      <c r="F162" s="24" t="str">
        <f>IF($A162="","",INDEX('Raw Data'!$G$2:$G$251,MATCH($A162,'Raw Data'!$T$2:$T$251,0)))</f>
        <v/>
      </c>
      <c r="G162" s="24" t="str">
        <f>IF($A162="","",INDEX('Raw Data'!$K$2:$K$251,MATCH($A162,'Raw Data'!$T$2:$T$251,0)))</f>
        <v/>
      </c>
      <c r="H162" s="26" t="str">
        <f>IF($A162="","",INDEX('Raw Data'!$H$2:$H$251,MATCH($A162,'Raw Data'!$T$2:$T$251,0)))</f>
        <v/>
      </c>
      <c r="I162" s="38" t="str">
        <f>IF($A162="","",INDEX('Raw Data'!$N$2:$N$251,MATCH($A162,'Raw Data'!$T$2:$T$251,0)))</f>
        <v/>
      </c>
    </row>
    <row r="163" spans="1:9" x14ac:dyDescent="0.25">
      <c r="A163" s="23" t="str">
        <f>IF(154&lt;=$C$7,154,"")</f>
        <v/>
      </c>
      <c r="B163" s="24" t="str">
        <f>IF($A163="","",INDEX('Raw Data'!$A$2:$A$251,MATCH($A163,'Raw Data'!$T$2:$T$251,0)))</f>
        <v/>
      </c>
      <c r="C163" s="46" t="str">
        <f>IF($A163="","",INDEX('Raw Data'!$B$2:$B$251,MATCH($A163,'Raw Data'!$T$2:$T$251,0)))</f>
        <v/>
      </c>
      <c r="D163" s="24" t="str">
        <f>IF($A163="","",INDEX('Raw Data'!$D$2:$D$251,MATCH($A163,'Raw Data'!$T$2:$T$251,0)))</f>
        <v/>
      </c>
      <c r="E163" s="24" t="str">
        <f>IF($A163="","",INDEX('Raw Data'!$F$2:$F$251,MATCH($A163,'Raw Data'!$T$2:$T$251,0)))</f>
        <v/>
      </c>
      <c r="F163" s="24" t="str">
        <f>IF($A163="","",INDEX('Raw Data'!$G$2:$G$251,MATCH($A163,'Raw Data'!$T$2:$T$251,0)))</f>
        <v/>
      </c>
      <c r="G163" s="24" t="str">
        <f>IF($A163="","",INDEX('Raw Data'!$K$2:$K$251,MATCH($A163,'Raw Data'!$T$2:$T$251,0)))</f>
        <v/>
      </c>
      <c r="H163" s="26" t="str">
        <f>IF($A163="","",INDEX('Raw Data'!$H$2:$H$251,MATCH($A163,'Raw Data'!$T$2:$T$251,0)))</f>
        <v/>
      </c>
      <c r="I163" s="38" t="str">
        <f>IF($A163="","",INDEX('Raw Data'!$N$2:$N$251,MATCH($A163,'Raw Data'!$T$2:$T$251,0)))</f>
        <v/>
      </c>
    </row>
    <row r="164" spans="1:9" x14ac:dyDescent="0.25">
      <c r="A164" s="23" t="str">
        <f>IF(155&lt;=$C$7,155,"")</f>
        <v/>
      </c>
      <c r="B164" s="24" t="str">
        <f>IF($A164="","",INDEX('Raw Data'!$A$2:$A$251,MATCH($A164,'Raw Data'!$T$2:$T$251,0)))</f>
        <v/>
      </c>
      <c r="C164" s="46" t="str">
        <f>IF($A164="","",INDEX('Raw Data'!$B$2:$B$251,MATCH($A164,'Raw Data'!$T$2:$T$251,0)))</f>
        <v/>
      </c>
      <c r="D164" s="24" t="str">
        <f>IF($A164="","",INDEX('Raw Data'!$D$2:$D$251,MATCH($A164,'Raw Data'!$T$2:$T$251,0)))</f>
        <v/>
      </c>
      <c r="E164" s="24" t="str">
        <f>IF($A164="","",INDEX('Raw Data'!$F$2:$F$251,MATCH($A164,'Raw Data'!$T$2:$T$251,0)))</f>
        <v/>
      </c>
      <c r="F164" s="24" t="str">
        <f>IF($A164="","",INDEX('Raw Data'!$G$2:$G$251,MATCH($A164,'Raw Data'!$T$2:$T$251,0)))</f>
        <v/>
      </c>
      <c r="G164" s="24" t="str">
        <f>IF($A164="","",INDEX('Raw Data'!$K$2:$K$251,MATCH($A164,'Raw Data'!$T$2:$T$251,0)))</f>
        <v/>
      </c>
      <c r="H164" s="26" t="str">
        <f>IF($A164="","",INDEX('Raw Data'!$H$2:$H$251,MATCH($A164,'Raw Data'!$T$2:$T$251,0)))</f>
        <v/>
      </c>
      <c r="I164" s="38" t="str">
        <f>IF($A164="","",INDEX('Raw Data'!$N$2:$N$251,MATCH($A164,'Raw Data'!$T$2:$T$251,0)))</f>
        <v/>
      </c>
    </row>
    <row r="165" spans="1:9" x14ac:dyDescent="0.25">
      <c r="A165" s="23" t="str">
        <f>IF(156&lt;=$C$7,156,"")</f>
        <v/>
      </c>
      <c r="B165" s="24" t="str">
        <f>IF($A165="","",INDEX('Raw Data'!$A$2:$A$251,MATCH($A165,'Raw Data'!$T$2:$T$251,0)))</f>
        <v/>
      </c>
      <c r="C165" s="46" t="str">
        <f>IF($A165="","",INDEX('Raw Data'!$B$2:$B$251,MATCH($A165,'Raw Data'!$T$2:$T$251,0)))</f>
        <v/>
      </c>
      <c r="D165" s="24" t="str">
        <f>IF($A165="","",INDEX('Raw Data'!$D$2:$D$251,MATCH($A165,'Raw Data'!$T$2:$T$251,0)))</f>
        <v/>
      </c>
      <c r="E165" s="24" t="str">
        <f>IF($A165="","",INDEX('Raw Data'!$F$2:$F$251,MATCH($A165,'Raw Data'!$T$2:$T$251,0)))</f>
        <v/>
      </c>
      <c r="F165" s="24" t="str">
        <f>IF($A165="","",INDEX('Raw Data'!$G$2:$G$251,MATCH($A165,'Raw Data'!$T$2:$T$251,0)))</f>
        <v/>
      </c>
      <c r="G165" s="24" t="str">
        <f>IF($A165="","",INDEX('Raw Data'!$K$2:$K$251,MATCH($A165,'Raw Data'!$T$2:$T$251,0)))</f>
        <v/>
      </c>
      <c r="H165" s="26" t="str">
        <f>IF($A165="","",INDEX('Raw Data'!$H$2:$H$251,MATCH($A165,'Raw Data'!$T$2:$T$251,0)))</f>
        <v/>
      </c>
      <c r="I165" s="38" t="str">
        <f>IF($A165="","",INDEX('Raw Data'!$N$2:$N$251,MATCH($A165,'Raw Data'!$T$2:$T$251,0)))</f>
        <v/>
      </c>
    </row>
    <row r="166" spans="1:9" x14ac:dyDescent="0.25">
      <c r="A166" s="23" t="str">
        <f>IF(157&lt;=$C$7,157,"")</f>
        <v/>
      </c>
      <c r="B166" s="24" t="str">
        <f>IF($A166="","",INDEX('Raw Data'!$A$2:$A$251,MATCH($A166,'Raw Data'!$T$2:$T$251,0)))</f>
        <v/>
      </c>
      <c r="C166" s="46" t="str">
        <f>IF($A166="","",INDEX('Raw Data'!$B$2:$B$251,MATCH($A166,'Raw Data'!$T$2:$T$251,0)))</f>
        <v/>
      </c>
      <c r="D166" s="24" t="str">
        <f>IF($A166="","",INDEX('Raw Data'!$D$2:$D$251,MATCH($A166,'Raw Data'!$T$2:$T$251,0)))</f>
        <v/>
      </c>
      <c r="E166" s="24" t="str">
        <f>IF($A166="","",INDEX('Raw Data'!$F$2:$F$251,MATCH($A166,'Raw Data'!$T$2:$T$251,0)))</f>
        <v/>
      </c>
      <c r="F166" s="24" t="str">
        <f>IF($A166="","",INDEX('Raw Data'!$G$2:$G$251,MATCH($A166,'Raw Data'!$T$2:$T$251,0)))</f>
        <v/>
      </c>
      <c r="G166" s="24" t="str">
        <f>IF($A166="","",INDEX('Raw Data'!$K$2:$K$251,MATCH($A166,'Raw Data'!$T$2:$T$251,0)))</f>
        <v/>
      </c>
      <c r="H166" s="26" t="str">
        <f>IF($A166="","",INDEX('Raw Data'!$H$2:$H$251,MATCH($A166,'Raw Data'!$T$2:$T$251,0)))</f>
        <v/>
      </c>
      <c r="I166" s="38" t="str">
        <f>IF($A166="","",INDEX('Raw Data'!$N$2:$N$251,MATCH($A166,'Raw Data'!$T$2:$T$251,0)))</f>
        <v/>
      </c>
    </row>
    <row r="167" spans="1:9" x14ac:dyDescent="0.25">
      <c r="A167" s="23" t="str">
        <f>IF(158&lt;=$C$7,158,"")</f>
        <v/>
      </c>
      <c r="B167" s="24" t="str">
        <f>IF($A167="","",INDEX('Raw Data'!$A$2:$A$251,MATCH($A167,'Raw Data'!$T$2:$T$251,0)))</f>
        <v/>
      </c>
      <c r="C167" s="46" t="str">
        <f>IF($A167="","",INDEX('Raw Data'!$B$2:$B$251,MATCH($A167,'Raw Data'!$T$2:$T$251,0)))</f>
        <v/>
      </c>
      <c r="D167" s="24" t="str">
        <f>IF($A167="","",INDEX('Raw Data'!$D$2:$D$251,MATCH($A167,'Raw Data'!$T$2:$T$251,0)))</f>
        <v/>
      </c>
      <c r="E167" s="24" t="str">
        <f>IF($A167="","",INDEX('Raw Data'!$F$2:$F$251,MATCH($A167,'Raw Data'!$T$2:$T$251,0)))</f>
        <v/>
      </c>
      <c r="F167" s="24" t="str">
        <f>IF($A167="","",INDEX('Raw Data'!$G$2:$G$251,MATCH($A167,'Raw Data'!$T$2:$T$251,0)))</f>
        <v/>
      </c>
      <c r="G167" s="24" t="str">
        <f>IF($A167="","",INDEX('Raw Data'!$K$2:$K$251,MATCH($A167,'Raw Data'!$T$2:$T$251,0)))</f>
        <v/>
      </c>
      <c r="H167" s="26" t="str">
        <f>IF($A167="","",INDEX('Raw Data'!$H$2:$H$251,MATCH($A167,'Raw Data'!$T$2:$T$251,0)))</f>
        <v/>
      </c>
      <c r="I167" s="38" t="str">
        <f>IF($A167="","",INDEX('Raw Data'!$N$2:$N$251,MATCH($A167,'Raw Data'!$T$2:$T$251,0)))</f>
        <v/>
      </c>
    </row>
    <row r="168" spans="1:9" x14ac:dyDescent="0.25">
      <c r="A168" s="23" t="str">
        <f>IF(159&lt;=$C$7,159,"")</f>
        <v/>
      </c>
      <c r="B168" s="24" t="str">
        <f>IF($A168="","",INDEX('Raw Data'!$A$2:$A$251,MATCH($A168,'Raw Data'!$T$2:$T$251,0)))</f>
        <v/>
      </c>
      <c r="C168" s="46" t="str">
        <f>IF($A168="","",INDEX('Raw Data'!$B$2:$B$251,MATCH($A168,'Raw Data'!$T$2:$T$251,0)))</f>
        <v/>
      </c>
      <c r="D168" s="24" t="str">
        <f>IF($A168="","",INDEX('Raw Data'!$D$2:$D$251,MATCH($A168,'Raw Data'!$T$2:$T$251,0)))</f>
        <v/>
      </c>
      <c r="E168" s="24" t="str">
        <f>IF($A168="","",INDEX('Raw Data'!$F$2:$F$251,MATCH($A168,'Raw Data'!$T$2:$T$251,0)))</f>
        <v/>
      </c>
      <c r="F168" s="24" t="str">
        <f>IF($A168="","",INDEX('Raw Data'!$G$2:$G$251,MATCH($A168,'Raw Data'!$T$2:$T$251,0)))</f>
        <v/>
      </c>
      <c r="G168" s="24" t="str">
        <f>IF($A168="","",INDEX('Raw Data'!$K$2:$K$251,MATCH($A168,'Raw Data'!$T$2:$T$251,0)))</f>
        <v/>
      </c>
      <c r="H168" s="26" t="str">
        <f>IF($A168="","",INDEX('Raw Data'!$H$2:$H$251,MATCH($A168,'Raw Data'!$T$2:$T$251,0)))</f>
        <v/>
      </c>
      <c r="I168" s="38" t="str">
        <f>IF($A168="","",INDEX('Raw Data'!$N$2:$N$251,MATCH($A168,'Raw Data'!$T$2:$T$251,0)))</f>
        <v/>
      </c>
    </row>
    <row r="169" spans="1:9" x14ac:dyDescent="0.25">
      <c r="A169" s="23" t="str">
        <f>IF(160&lt;=$C$7,160,"")</f>
        <v/>
      </c>
      <c r="B169" s="24" t="str">
        <f>IF($A169="","",INDEX('Raw Data'!$A$2:$A$251,MATCH($A169,'Raw Data'!$T$2:$T$251,0)))</f>
        <v/>
      </c>
      <c r="C169" s="46" t="str">
        <f>IF($A169="","",INDEX('Raw Data'!$B$2:$B$251,MATCH($A169,'Raw Data'!$T$2:$T$251,0)))</f>
        <v/>
      </c>
      <c r="D169" s="24" t="str">
        <f>IF($A169="","",INDEX('Raw Data'!$D$2:$D$251,MATCH($A169,'Raw Data'!$T$2:$T$251,0)))</f>
        <v/>
      </c>
      <c r="E169" s="24" t="str">
        <f>IF($A169="","",INDEX('Raw Data'!$F$2:$F$251,MATCH($A169,'Raw Data'!$T$2:$T$251,0)))</f>
        <v/>
      </c>
      <c r="F169" s="24" t="str">
        <f>IF($A169="","",INDEX('Raw Data'!$G$2:$G$251,MATCH($A169,'Raw Data'!$T$2:$T$251,0)))</f>
        <v/>
      </c>
      <c r="G169" s="24" t="str">
        <f>IF($A169="","",INDEX('Raw Data'!$K$2:$K$251,MATCH($A169,'Raw Data'!$T$2:$T$251,0)))</f>
        <v/>
      </c>
      <c r="H169" s="26" t="str">
        <f>IF($A169="","",INDEX('Raw Data'!$H$2:$H$251,MATCH($A169,'Raw Data'!$T$2:$T$251,0)))</f>
        <v/>
      </c>
      <c r="I169" s="38" t="str">
        <f>IF($A169="","",INDEX('Raw Data'!$N$2:$N$251,MATCH($A169,'Raw Data'!$T$2:$T$251,0)))</f>
        <v/>
      </c>
    </row>
    <row r="170" spans="1:9" x14ac:dyDescent="0.25">
      <c r="A170" s="23" t="str">
        <f>IF(161&lt;=$C$7,161,"")</f>
        <v/>
      </c>
      <c r="B170" s="24" t="str">
        <f>IF($A170="","",INDEX('Raw Data'!$A$2:$A$251,MATCH($A170,'Raw Data'!$T$2:$T$251,0)))</f>
        <v/>
      </c>
      <c r="C170" s="46" t="str">
        <f>IF($A170="","",INDEX('Raw Data'!$B$2:$B$251,MATCH($A170,'Raw Data'!$T$2:$T$251,0)))</f>
        <v/>
      </c>
      <c r="D170" s="24" t="str">
        <f>IF($A170="","",INDEX('Raw Data'!$D$2:$D$251,MATCH($A170,'Raw Data'!$T$2:$T$251,0)))</f>
        <v/>
      </c>
      <c r="E170" s="24" t="str">
        <f>IF($A170="","",INDEX('Raw Data'!$F$2:$F$251,MATCH($A170,'Raw Data'!$T$2:$T$251,0)))</f>
        <v/>
      </c>
      <c r="F170" s="24" t="str">
        <f>IF($A170="","",INDEX('Raw Data'!$G$2:$G$251,MATCH($A170,'Raw Data'!$T$2:$T$251,0)))</f>
        <v/>
      </c>
      <c r="G170" s="24" t="str">
        <f>IF($A170="","",INDEX('Raw Data'!$K$2:$K$251,MATCH($A170,'Raw Data'!$T$2:$T$251,0)))</f>
        <v/>
      </c>
      <c r="H170" s="26" t="str">
        <f>IF($A170="","",INDEX('Raw Data'!$H$2:$H$251,MATCH($A170,'Raw Data'!$T$2:$T$251,0)))</f>
        <v/>
      </c>
      <c r="I170" s="38" t="str">
        <f>IF($A170="","",INDEX('Raw Data'!$N$2:$N$251,MATCH($A170,'Raw Data'!$T$2:$T$251,0)))</f>
        <v/>
      </c>
    </row>
    <row r="171" spans="1:9" x14ac:dyDescent="0.25">
      <c r="A171" s="23" t="str">
        <f>IF(162&lt;=$C$7,162,"")</f>
        <v/>
      </c>
      <c r="B171" s="24" t="str">
        <f>IF($A171="","",INDEX('Raw Data'!$A$2:$A$251,MATCH($A171,'Raw Data'!$T$2:$T$251,0)))</f>
        <v/>
      </c>
      <c r="C171" s="46" t="str">
        <f>IF($A171="","",INDEX('Raw Data'!$B$2:$B$251,MATCH($A171,'Raw Data'!$T$2:$T$251,0)))</f>
        <v/>
      </c>
      <c r="D171" s="24" t="str">
        <f>IF($A171="","",INDEX('Raw Data'!$D$2:$D$251,MATCH($A171,'Raw Data'!$T$2:$T$251,0)))</f>
        <v/>
      </c>
      <c r="E171" s="24" t="str">
        <f>IF($A171="","",INDEX('Raw Data'!$F$2:$F$251,MATCH($A171,'Raw Data'!$T$2:$T$251,0)))</f>
        <v/>
      </c>
      <c r="F171" s="24" t="str">
        <f>IF($A171="","",INDEX('Raw Data'!$G$2:$G$251,MATCH($A171,'Raw Data'!$T$2:$T$251,0)))</f>
        <v/>
      </c>
      <c r="G171" s="24" t="str">
        <f>IF($A171="","",INDEX('Raw Data'!$K$2:$K$251,MATCH($A171,'Raw Data'!$T$2:$T$251,0)))</f>
        <v/>
      </c>
      <c r="H171" s="26" t="str">
        <f>IF($A171="","",INDEX('Raw Data'!$H$2:$H$251,MATCH($A171,'Raw Data'!$T$2:$T$251,0)))</f>
        <v/>
      </c>
      <c r="I171" s="38" t="str">
        <f>IF($A171="","",INDEX('Raw Data'!$N$2:$N$251,MATCH($A171,'Raw Data'!$T$2:$T$251,0)))</f>
        <v/>
      </c>
    </row>
    <row r="172" spans="1:9" x14ac:dyDescent="0.25">
      <c r="A172" s="23" t="str">
        <f>IF(163&lt;=$C$7,163,"")</f>
        <v/>
      </c>
      <c r="B172" s="24" t="str">
        <f>IF($A172="","",INDEX('Raw Data'!$A$2:$A$251,MATCH($A172,'Raw Data'!$T$2:$T$251,0)))</f>
        <v/>
      </c>
      <c r="C172" s="46" t="str">
        <f>IF($A172="","",INDEX('Raw Data'!$B$2:$B$251,MATCH($A172,'Raw Data'!$T$2:$T$251,0)))</f>
        <v/>
      </c>
      <c r="D172" s="24" t="str">
        <f>IF($A172="","",INDEX('Raw Data'!$D$2:$D$251,MATCH($A172,'Raw Data'!$T$2:$T$251,0)))</f>
        <v/>
      </c>
      <c r="E172" s="24" t="str">
        <f>IF($A172="","",INDEX('Raw Data'!$F$2:$F$251,MATCH($A172,'Raw Data'!$T$2:$T$251,0)))</f>
        <v/>
      </c>
      <c r="F172" s="24" t="str">
        <f>IF($A172="","",INDEX('Raw Data'!$G$2:$G$251,MATCH($A172,'Raw Data'!$T$2:$T$251,0)))</f>
        <v/>
      </c>
      <c r="G172" s="24" t="str">
        <f>IF($A172="","",INDEX('Raw Data'!$K$2:$K$251,MATCH($A172,'Raw Data'!$T$2:$T$251,0)))</f>
        <v/>
      </c>
      <c r="H172" s="26" t="str">
        <f>IF($A172="","",INDEX('Raw Data'!$H$2:$H$251,MATCH($A172,'Raw Data'!$T$2:$T$251,0)))</f>
        <v/>
      </c>
      <c r="I172" s="38" t="str">
        <f>IF($A172="","",INDEX('Raw Data'!$N$2:$N$251,MATCH($A172,'Raw Data'!$T$2:$T$251,0)))</f>
        <v/>
      </c>
    </row>
    <row r="173" spans="1:9" x14ac:dyDescent="0.25">
      <c r="A173" s="23" t="str">
        <f>IF(164&lt;=$C$7,164,"")</f>
        <v/>
      </c>
      <c r="B173" s="24" t="str">
        <f>IF($A173="","",INDEX('Raw Data'!$A$2:$A$251,MATCH($A173,'Raw Data'!$T$2:$T$251,0)))</f>
        <v/>
      </c>
      <c r="C173" s="46" t="str">
        <f>IF($A173="","",INDEX('Raw Data'!$B$2:$B$251,MATCH($A173,'Raw Data'!$T$2:$T$251,0)))</f>
        <v/>
      </c>
      <c r="D173" s="24" t="str">
        <f>IF($A173="","",INDEX('Raw Data'!$D$2:$D$251,MATCH($A173,'Raw Data'!$T$2:$T$251,0)))</f>
        <v/>
      </c>
      <c r="E173" s="24" t="str">
        <f>IF($A173="","",INDEX('Raw Data'!$F$2:$F$251,MATCH($A173,'Raw Data'!$T$2:$T$251,0)))</f>
        <v/>
      </c>
      <c r="F173" s="24" t="str">
        <f>IF($A173="","",INDEX('Raw Data'!$G$2:$G$251,MATCH($A173,'Raw Data'!$T$2:$T$251,0)))</f>
        <v/>
      </c>
      <c r="G173" s="24" t="str">
        <f>IF($A173="","",INDEX('Raw Data'!$K$2:$K$251,MATCH($A173,'Raw Data'!$T$2:$T$251,0)))</f>
        <v/>
      </c>
      <c r="H173" s="26" t="str">
        <f>IF($A173="","",INDEX('Raw Data'!$H$2:$H$251,MATCH($A173,'Raw Data'!$T$2:$T$251,0)))</f>
        <v/>
      </c>
      <c r="I173" s="38" t="str">
        <f>IF($A173="","",INDEX('Raw Data'!$N$2:$N$251,MATCH($A173,'Raw Data'!$T$2:$T$251,0)))</f>
        <v/>
      </c>
    </row>
    <row r="174" spans="1:9" x14ac:dyDescent="0.25">
      <c r="A174" s="23" t="str">
        <f>IF(165&lt;=$C$7,165,"")</f>
        <v/>
      </c>
      <c r="B174" s="24" t="str">
        <f>IF($A174="","",INDEX('Raw Data'!$A$2:$A$251,MATCH($A174,'Raw Data'!$T$2:$T$251,0)))</f>
        <v/>
      </c>
      <c r="C174" s="46" t="str">
        <f>IF($A174="","",INDEX('Raw Data'!$B$2:$B$251,MATCH($A174,'Raw Data'!$T$2:$T$251,0)))</f>
        <v/>
      </c>
      <c r="D174" s="24" t="str">
        <f>IF($A174="","",INDEX('Raw Data'!$D$2:$D$251,MATCH($A174,'Raw Data'!$T$2:$T$251,0)))</f>
        <v/>
      </c>
      <c r="E174" s="24" t="str">
        <f>IF($A174="","",INDEX('Raw Data'!$F$2:$F$251,MATCH($A174,'Raw Data'!$T$2:$T$251,0)))</f>
        <v/>
      </c>
      <c r="F174" s="24" t="str">
        <f>IF($A174="","",INDEX('Raw Data'!$G$2:$G$251,MATCH($A174,'Raw Data'!$T$2:$T$251,0)))</f>
        <v/>
      </c>
      <c r="G174" s="24" t="str">
        <f>IF($A174="","",INDEX('Raw Data'!$K$2:$K$251,MATCH($A174,'Raw Data'!$T$2:$T$251,0)))</f>
        <v/>
      </c>
      <c r="H174" s="26" t="str">
        <f>IF($A174="","",INDEX('Raw Data'!$H$2:$H$251,MATCH($A174,'Raw Data'!$T$2:$T$251,0)))</f>
        <v/>
      </c>
      <c r="I174" s="38" t="str">
        <f>IF($A174="","",INDEX('Raw Data'!$N$2:$N$251,MATCH($A174,'Raw Data'!$T$2:$T$251,0)))</f>
        <v/>
      </c>
    </row>
    <row r="175" spans="1:9" x14ac:dyDescent="0.25">
      <c r="A175" s="23" t="str">
        <f>IF(166&lt;=$C$7,166,"")</f>
        <v/>
      </c>
      <c r="B175" s="24" t="str">
        <f>IF($A175="","",INDEX('Raw Data'!$A$2:$A$251,MATCH($A175,'Raw Data'!$T$2:$T$251,0)))</f>
        <v/>
      </c>
      <c r="C175" s="46" t="str">
        <f>IF($A175="","",INDEX('Raw Data'!$B$2:$B$251,MATCH($A175,'Raw Data'!$T$2:$T$251,0)))</f>
        <v/>
      </c>
      <c r="D175" s="24" t="str">
        <f>IF($A175="","",INDEX('Raw Data'!$D$2:$D$251,MATCH($A175,'Raw Data'!$T$2:$T$251,0)))</f>
        <v/>
      </c>
      <c r="E175" s="24" t="str">
        <f>IF($A175="","",INDEX('Raw Data'!$F$2:$F$251,MATCH($A175,'Raw Data'!$T$2:$T$251,0)))</f>
        <v/>
      </c>
      <c r="F175" s="24" t="str">
        <f>IF($A175="","",INDEX('Raw Data'!$G$2:$G$251,MATCH($A175,'Raw Data'!$T$2:$T$251,0)))</f>
        <v/>
      </c>
      <c r="G175" s="24" t="str">
        <f>IF($A175="","",INDEX('Raw Data'!$K$2:$K$251,MATCH($A175,'Raw Data'!$T$2:$T$251,0)))</f>
        <v/>
      </c>
      <c r="H175" s="26" t="str">
        <f>IF($A175="","",INDEX('Raw Data'!$H$2:$H$251,MATCH($A175,'Raw Data'!$T$2:$T$251,0)))</f>
        <v/>
      </c>
      <c r="I175" s="38" t="str">
        <f>IF($A175="","",INDEX('Raw Data'!$N$2:$N$251,MATCH($A175,'Raw Data'!$T$2:$T$251,0)))</f>
        <v/>
      </c>
    </row>
    <row r="176" spans="1:9" x14ac:dyDescent="0.25">
      <c r="A176" s="23" t="str">
        <f>IF(167&lt;=$C$7,167,"")</f>
        <v/>
      </c>
      <c r="B176" s="24" t="str">
        <f>IF($A176="","",INDEX('Raw Data'!$A$2:$A$251,MATCH($A176,'Raw Data'!$T$2:$T$251,0)))</f>
        <v/>
      </c>
      <c r="C176" s="46" t="str">
        <f>IF($A176="","",INDEX('Raw Data'!$B$2:$B$251,MATCH($A176,'Raw Data'!$T$2:$T$251,0)))</f>
        <v/>
      </c>
      <c r="D176" s="24" t="str">
        <f>IF($A176="","",INDEX('Raw Data'!$D$2:$D$251,MATCH($A176,'Raw Data'!$T$2:$T$251,0)))</f>
        <v/>
      </c>
      <c r="E176" s="24" t="str">
        <f>IF($A176="","",INDEX('Raw Data'!$F$2:$F$251,MATCH($A176,'Raw Data'!$T$2:$T$251,0)))</f>
        <v/>
      </c>
      <c r="F176" s="24" t="str">
        <f>IF($A176="","",INDEX('Raw Data'!$G$2:$G$251,MATCH($A176,'Raw Data'!$T$2:$T$251,0)))</f>
        <v/>
      </c>
      <c r="G176" s="24" t="str">
        <f>IF($A176="","",INDEX('Raw Data'!$K$2:$K$251,MATCH($A176,'Raw Data'!$T$2:$T$251,0)))</f>
        <v/>
      </c>
      <c r="H176" s="26" t="str">
        <f>IF($A176="","",INDEX('Raw Data'!$H$2:$H$251,MATCH($A176,'Raw Data'!$T$2:$T$251,0)))</f>
        <v/>
      </c>
      <c r="I176" s="38" t="str">
        <f>IF($A176="","",INDEX('Raw Data'!$N$2:$N$251,MATCH($A176,'Raw Data'!$T$2:$T$251,0)))</f>
        <v/>
      </c>
    </row>
    <row r="177" spans="1:9" x14ac:dyDescent="0.25">
      <c r="A177" s="23" t="str">
        <f>IF(168&lt;=$C$7,168,"")</f>
        <v/>
      </c>
      <c r="B177" s="24" t="str">
        <f>IF($A177="","",INDEX('Raw Data'!$A$2:$A$251,MATCH($A177,'Raw Data'!$T$2:$T$251,0)))</f>
        <v/>
      </c>
      <c r="C177" s="46" t="str">
        <f>IF($A177="","",INDEX('Raw Data'!$B$2:$B$251,MATCH($A177,'Raw Data'!$T$2:$T$251,0)))</f>
        <v/>
      </c>
      <c r="D177" s="24" t="str">
        <f>IF($A177="","",INDEX('Raw Data'!$D$2:$D$251,MATCH($A177,'Raw Data'!$T$2:$T$251,0)))</f>
        <v/>
      </c>
      <c r="E177" s="24" t="str">
        <f>IF($A177="","",INDEX('Raw Data'!$F$2:$F$251,MATCH($A177,'Raw Data'!$T$2:$T$251,0)))</f>
        <v/>
      </c>
      <c r="F177" s="24" t="str">
        <f>IF($A177="","",INDEX('Raw Data'!$G$2:$G$251,MATCH($A177,'Raw Data'!$T$2:$T$251,0)))</f>
        <v/>
      </c>
      <c r="G177" s="24" t="str">
        <f>IF($A177="","",INDEX('Raw Data'!$K$2:$K$251,MATCH($A177,'Raw Data'!$T$2:$T$251,0)))</f>
        <v/>
      </c>
      <c r="H177" s="26" t="str">
        <f>IF($A177="","",INDEX('Raw Data'!$H$2:$H$251,MATCH($A177,'Raw Data'!$T$2:$T$251,0)))</f>
        <v/>
      </c>
      <c r="I177" s="38" t="str">
        <f>IF($A177="","",INDEX('Raw Data'!$N$2:$N$251,MATCH($A177,'Raw Data'!$T$2:$T$251,0)))</f>
        <v/>
      </c>
    </row>
    <row r="178" spans="1:9" x14ac:dyDescent="0.25">
      <c r="A178" s="23" t="str">
        <f>IF(169&lt;=$C$7,169,"")</f>
        <v/>
      </c>
      <c r="B178" s="24" t="str">
        <f>IF($A178="","",INDEX('Raw Data'!$A$2:$A$251,MATCH($A178,'Raw Data'!$T$2:$T$251,0)))</f>
        <v/>
      </c>
      <c r="C178" s="46" t="str">
        <f>IF($A178="","",INDEX('Raw Data'!$B$2:$B$251,MATCH($A178,'Raw Data'!$T$2:$T$251,0)))</f>
        <v/>
      </c>
      <c r="D178" s="24" t="str">
        <f>IF($A178="","",INDEX('Raw Data'!$D$2:$D$251,MATCH($A178,'Raw Data'!$T$2:$T$251,0)))</f>
        <v/>
      </c>
      <c r="E178" s="24" t="str">
        <f>IF($A178="","",INDEX('Raw Data'!$F$2:$F$251,MATCH($A178,'Raw Data'!$T$2:$T$251,0)))</f>
        <v/>
      </c>
      <c r="F178" s="24" t="str">
        <f>IF($A178="","",INDEX('Raw Data'!$G$2:$G$251,MATCH($A178,'Raw Data'!$T$2:$T$251,0)))</f>
        <v/>
      </c>
      <c r="G178" s="24" t="str">
        <f>IF($A178="","",INDEX('Raw Data'!$K$2:$K$251,MATCH($A178,'Raw Data'!$T$2:$T$251,0)))</f>
        <v/>
      </c>
      <c r="H178" s="26" t="str">
        <f>IF($A178="","",INDEX('Raw Data'!$H$2:$H$251,MATCH($A178,'Raw Data'!$T$2:$T$251,0)))</f>
        <v/>
      </c>
      <c r="I178" s="38" t="str">
        <f>IF($A178="","",INDEX('Raw Data'!$N$2:$N$251,MATCH($A178,'Raw Data'!$T$2:$T$251,0)))</f>
        <v/>
      </c>
    </row>
    <row r="179" spans="1:9" x14ac:dyDescent="0.25">
      <c r="A179" s="23" t="str">
        <f>IF(170&lt;=$C$7,170,"")</f>
        <v/>
      </c>
      <c r="B179" s="24" t="str">
        <f>IF($A179="","",INDEX('Raw Data'!$A$2:$A$251,MATCH($A179,'Raw Data'!$T$2:$T$251,0)))</f>
        <v/>
      </c>
      <c r="C179" s="46" t="str">
        <f>IF($A179="","",INDEX('Raw Data'!$B$2:$B$251,MATCH($A179,'Raw Data'!$T$2:$T$251,0)))</f>
        <v/>
      </c>
      <c r="D179" s="24" t="str">
        <f>IF($A179="","",INDEX('Raw Data'!$D$2:$D$251,MATCH($A179,'Raw Data'!$T$2:$T$251,0)))</f>
        <v/>
      </c>
      <c r="E179" s="24" t="str">
        <f>IF($A179="","",INDEX('Raw Data'!$F$2:$F$251,MATCH($A179,'Raw Data'!$T$2:$T$251,0)))</f>
        <v/>
      </c>
      <c r="F179" s="24" t="str">
        <f>IF($A179="","",INDEX('Raw Data'!$G$2:$G$251,MATCH($A179,'Raw Data'!$T$2:$T$251,0)))</f>
        <v/>
      </c>
      <c r="G179" s="24" t="str">
        <f>IF($A179="","",INDEX('Raw Data'!$K$2:$K$251,MATCH($A179,'Raw Data'!$T$2:$T$251,0)))</f>
        <v/>
      </c>
      <c r="H179" s="26" t="str">
        <f>IF($A179="","",INDEX('Raw Data'!$H$2:$H$251,MATCH($A179,'Raw Data'!$T$2:$T$251,0)))</f>
        <v/>
      </c>
      <c r="I179" s="38" t="str">
        <f>IF($A179="","",INDEX('Raw Data'!$N$2:$N$251,MATCH($A179,'Raw Data'!$T$2:$T$251,0)))</f>
        <v/>
      </c>
    </row>
    <row r="180" spans="1:9" x14ac:dyDescent="0.25">
      <c r="A180" s="23" t="str">
        <f>IF(171&lt;=$C$7,171,"")</f>
        <v/>
      </c>
      <c r="B180" s="24" t="str">
        <f>IF($A180="","",INDEX('Raw Data'!$A$2:$A$251,MATCH($A180,'Raw Data'!$T$2:$T$251,0)))</f>
        <v/>
      </c>
      <c r="C180" s="46" t="str">
        <f>IF($A180="","",INDEX('Raw Data'!$B$2:$B$251,MATCH($A180,'Raw Data'!$T$2:$T$251,0)))</f>
        <v/>
      </c>
      <c r="D180" s="24" t="str">
        <f>IF($A180="","",INDEX('Raw Data'!$D$2:$D$251,MATCH($A180,'Raw Data'!$T$2:$T$251,0)))</f>
        <v/>
      </c>
      <c r="E180" s="24" t="str">
        <f>IF($A180="","",INDEX('Raw Data'!$F$2:$F$251,MATCH($A180,'Raw Data'!$T$2:$T$251,0)))</f>
        <v/>
      </c>
      <c r="F180" s="24" t="str">
        <f>IF($A180="","",INDEX('Raw Data'!$G$2:$G$251,MATCH($A180,'Raw Data'!$T$2:$T$251,0)))</f>
        <v/>
      </c>
      <c r="G180" s="24" t="str">
        <f>IF($A180="","",INDEX('Raw Data'!$K$2:$K$251,MATCH($A180,'Raw Data'!$T$2:$T$251,0)))</f>
        <v/>
      </c>
      <c r="H180" s="26" t="str">
        <f>IF($A180="","",INDEX('Raw Data'!$H$2:$H$251,MATCH($A180,'Raw Data'!$T$2:$T$251,0)))</f>
        <v/>
      </c>
      <c r="I180" s="38" t="str">
        <f>IF($A180="","",INDEX('Raw Data'!$N$2:$N$251,MATCH($A180,'Raw Data'!$T$2:$T$251,0)))</f>
        <v/>
      </c>
    </row>
    <row r="181" spans="1:9" x14ac:dyDescent="0.25">
      <c r="A181" s="23" t="str">
        <f>IF(172&lt;=$C$7,172,"")</f>
        <v/>
      </c>
      <c r="B181" s="24" t="str">
        <f>IF($A181="","",INDEX('Raw Data'!$A$2:$A$251,MATCH($A181,'Raw Data'!$T$2:$T$251,0)))</f>
        <v/>
      </c>
      <c r="C181" s="46" t="str">
        <f>IF($A181="","",INDEX('Raw Data'!$B$2:$B$251,MATCH($A181,'Raw Data'!$T$2:$T$251,0)))</f>
        <v/>
      </c>
      <c r="D181" s="24" t="str">
        <f>IF($A181="","",INDEX('Raw Data'!$D$2:$D$251,MATCH($A181,'Raw Data'!$T$2:$T$251,0)))</f>
        <v/>
      </c>
      <c r="E181" s="24" t="str">
        <f>IF($A181="","",INDEX('Raw Data'!$F$2:$F$251,MATCH($A181,'Raw Data'!$T$2:$T$251,0)))</f>
        <v/>
      </c>
      <c r="F181" s="24" t="str">
        <f>IF($A181="","",INDEX('Raw Data'!$G$2:$G$251,MATCH($A181,'Raw Data'!$T$2:$T$251,0)))</f>
        <v/>
      </c>
      <c r="G181" s="24" t="str">
        <f>IF($A181="","",INDEX('Raw Data'!$K$2:$K$251,MATCH($A181,'Raw Data'!$T$2:$T$251,0)))</f>
        <v/>
      </c>
      <c r="H181" s="26" t="str">
        <f>IF($A181="","",INDEX('Raw Data'!$H$2:$H$251,MATCH($A181,'Raw Data'!$T$2:$T$251,0)))</f>
        <v/>
      </c>
      <c r="I181" s="38" t="str">
        <f>IF($A181="","",INDEX('Raw Data'!$N$2:$N$251,MATCH($A181,'Raw Data'!$T$2:$T$251,0)))</f>
        <v/>
      </c>
    </row>
    <row r="182" spans="1:9" x14ac:dyDescent="0.25">
      <c r="A182" s="23" t="str">
        <f>IF(173&lt;=$C$7,173,"")</f>
        <v/>
      </c>
      <c r="B182" s="24" t="str">
        <f>IF($A182="","",INDEX('Raw Data'!$A$2:$A$251,MATCH($A182,'Raw Data'!$T$2:$T$251,0)))</f>
        <v/>
      </c>
      <c r="C182" s="46" t="str">
        <f>IF($A182="","",INDEX('Raw Data'!$B$2:$B$251,MATCH($A182,'Raw Data'!$T$2:$T$251,0)))</f>
        <v/>
      </c>
      <c r="D182" s="24" t="str">
        <f>IF($A182="","",INDEX('Raw Data'!$D$2:$D$251,MATCH($A182,'Raw Data'!$T$2:$T$251,0)))</f>
        <v/>
      </c>
      <c r="E182" s="24" t="str">
        <f>IF($A182="","",INDEX('Raw Data'!$F$2:$F$251,MATCH($A182,'Raw Data'!$T$2:$T$251,0)))</f>
        <v/>
      </c>
      <c r="F182" s="24" t="str">
        <f>IF($A182="","",INDEX('Raw Data'!$G$2:$G$251,MATCH($A182,'Raw Data'!$T$2:$T$251,0)))</f>
        <v/>
      </c>
      <c r="G182" s="24" t="str">
        <f>IF($A182="","",INDEX('Raw Data'!$K$2:$K$251,MATCH($A182,'Raw Data'!$T$2:$T$251,0)))</f>
        <v/>
      </c>
      <c r="H182" s="26" t="str">
        <f>IF($A182="","",INDEX('Raw Data'!$H$2:$H$251,MATCH($A182,'Raw Data'!$T$2:$T$251,0)))</f>
        <v/>
      </c>
      <c r="I182" s="38" t="str">
        <f>IF($A182="","",INDEX('Raw Data'!$N$2:$N$251,MATCH($A182,'Raw Data'!$T$2:$T$251,0)))</f>
        <v/>
      </c>
    </row>
    <row r="183" spans="1:9" x14ac:dyDescent="0.25">
      <c r="A183" s="23" t="str">
        <f>IF(174&lt;=$C$7,174,"")</f>
        <v/>
      </c>
      <c r="B183" s="24" t="str">
        <f>IF($A183="","",INDEX('Raw Data'!$A$2:$A$251,MATCH($A183,'Raw Data'!$T$2:$T$251,0)))</f>
        <v/>
      </c>
      <c r="C183" s="46" t="str">
        <f>IF($A183="","",INDEX('Raw Data'!$B$2:$B$251,MATCH($A183,'Raw Data'!$T$2:$T$251,0)))</f>
        <v/>
      </c>
      <c r="D183" s="24" t="str">
        <f>IF($A183="","",INDEX('Raw Data'!$D$2:$D$251,MATCH($A183,'Raw Data'!$T$2:$T$251,0)))</f>
        <v/>
      </c>
      <c r="E183" s="24" t="str">
        <f>IF($A183="","",INDEX('Raw Data'!$F$2:$F$251,MATCH($A183,'Raw Data'!$T$2:$T$251,0)))</f>
        <v/>
      </c>
      <c r="F183" s="24" t="str">
        <f>IF($A183="","",INDEX('Raw Data'!$G$2:$G$251,MATCH($A183,'Raw Data'!$T$2:$T$251,0)))</f>
        <v/>
      </c>
      <c r="G183" s="24" t="str">
        <f>IF($A183="","",INDEX('Raw Data'!$K$2:$K$251,MATCH($A183,'Raw Data'!$T$2:$T$251,0)))</f>
        <v/>
      </c>
      <c r="H183" s="26" t="str">
        <f>IF($A183="","",INDEX('Raw Data'!$H$2:$H$251,MATCH($A183,'Raw Data'!$T$2:$T$251,0)))</f>
        <v/>
      </c>
      <c r="I183" s="38" t="str">
        <f>IF($A183="","",INDEX('Raw Data'!$N$2:$N$251,MATCH($A183,'Raw Data'!$T$2:$T$251,0)))</f>
        <v/>
      </c>
    </row>
    <row r="184" spans="1:9" x14ac:dyDescent="0.25">
      <c r="A184" s="23" t="str">
        <f>IF(175&lt;=$C$7,175,"")</f>
        <v/>
      </c>
      <c r="B184" s="24" t="str">
        <f>IF($A184="","",INDEX('Raw Data'!$A$2:$A$251,MATCH($A184,'Raw Data'!$T$2:$T$251,0)))</f>
        <v/>
      </c>
      <c r="C184" s="46" t="str">
        <f>IF($A184="","",INDEX('Raw Data'!$B$2:$B$251,MATCH($A184,'Raw Data'!$T$2:$T$251,0)))</f>
        <v/>
      </c>
      <c r="D184" s="24" t="str">
        <f>IF($A184="","",INDEX('Raw Data'!$D$2:$D$251,MATCH($A184,'Raw Data'!$T$2:$T$251,0)))</f>
        <v/>
      </c>
      <c r="E184" s="24" t="str">
        <f>IF($A184="","",INDEX('Raw Data'!$F$2:$F$251,MATCH($A184,'Raw Data'!$T$2:$T$251,0)))</f>
        <v/>
      </c>
      <c r="F184" s="24" t="str">
        <f>IF($A184="","",INDEX('Raw Data'!$G$2:$G$251,MATCH($A184,'Raw Data'!$T$2:$T$251,0)))</f>
        <v/>
      </c>
      <c r="G184" s="24" t="str">
        <f>IF($A184="","",INDEX('Raw Data'!$K$2:$K$251,MATCH($A184,'Raw Data'!$T$2:$T$251,0)))</f>
        <v/>
      </c>
      <c r="H184" s="26" t="str">
        <f>IF($A184="","",INDEX('Raw Data'!$H$2:$H$251,MATCH($A184,'Raw Data'!$T$2:$T$251,0)))</f>
        <v/>
      </c>
      <c r="I184" s="38" t="str">
        <f>IF($A184="","",INDEX('Raw Data'!$N$2:$N$251,MATCH($A184,'Raw Data'!$T$2:$T$251,0)))</f>
        <v/>
      </c>
    </row>
    <row r="185" spans="1:9" x14ac:dyDescent="0.25">
      <c r="A185" s="23" t="str">
        <f>IF(176&lt;=$C$7,176,"")</f>
        <v/>
      </c>
      <c r="B185" s="24" t="str">
        <f>IF($A185="","",INDEX('Raw Data'!$A$2:$A$251,MATCH($A185,'Raw Data'!$T$2:$T$251,0)))</f>
        <v/>
      </c>
      <c r="C185" s="46" t="str">
        <f>IF($A185="","",INDEX('Raw Data'!$B$2:$B$251,MATCH($A185,'Raw Data'!$T$2:$T$251,0)))</f>
        <v/>
      </c>
      <c r="D185" s="24" t="str">
        <f>IF($A185="","",INDEX('Raw Data'!$D$2:$D$251,MATCH($A185,'Raw Data'!$T$2:$T$251,0)))</f>
        <v/>
      </c>
      <c r="E185" s="24" t="str">
        <f>IF($A185="","",INDEX('Raw Data'!$F$2:$F$251,MATCH($A185,'Raw Data'!$T$2:$T$251,0)))</f>
        <v/>
      </c>
      <c r="F185" s="24" t="str">
        <f>IF($A185="","",INDEX('Raw Data'!$G$2:$G$251,MATCH($A185,'Raw Data'!$T$2:$T$251,0)))</f>
        <v/>
      </c>
      <c r="G185" s="24" t="str">
        <f>IF($A185="","",INDEX('Raw Data'!$K$2:$K$251,MATCH($A185,'Raw Data'!$T$2:$T$251,0)))</f>
        <v/>
      </c>
      <c r="H185" s="26" t="str">
        <f>IF($A185="","",INDEX('Raw Data'!$H$2:$H$251,MATCH($A185,'Raw Data'!$T$2:$T$251,0)))</f>
        <v/>
      </c>
      <c r="I185" s="38" t="str">
        <f>IF($A185="","",INDEX('Raw Data'!$N$2:$N$251,MATCH($A185,'Raw Data'!$T$2:$T$251,0)))</f>
        <v/>
      </c>
    </row>
    <row r="186" spans="1:9" x14ac:dyDescent="0.25">
      <c r="A186" s="23" t="str">
        <f>IF(177&lt;=$C$7,177,"")</f>
        <v/>
      </c>
      <c r="B186" s="24" t="str">
        <f>IF($A186="","",INDEX('Raw Data'!$A$2:$A$251,MATCH($A186,'Raw Data'!$T$2:$T$251,0)))</f>
        <v/>
      </c>
      <c r="C186" s="46" t="str">
        <f>IF($A186="","",INDEX('Raw Data'!$B$2:$B$251,MATCH($A186,'Raw Data'!$T$2:$T$251,0)))</f>
        <v/>
      </c>
      <c r="D186" s="24" t="str">
        <f>IF($A186="","",INDEX('Raw Data'!$D$2:$D$251,MATCH($A186,'Raw Data'!$T$2:$T$251,0)))</f>
        <v/>
      </c>
      <c r="E186" s="24" t="str">
        <f>IF($A186="","",INDEX('Raw Data'!$F$2:$F$251,MATCH($A186,'Raw Data'!$T$2:$T$251,0)))</f>
        <v/>
      </c>
      <c r="F186" s="24" t="str">
        <f>IF($A186="","",INDEX('Raw Data'!$G$2:$G$251,MATCH($A186,'Raw Data'!$T$2:$T$251,0)))</f>
        <v/>
      </c>
      <c r="G186" s="24" t="str">
        <f>IF($A186="","",INDEX('Raw Data'!$K$2:$K$251,MATCH($A186,'Raw Data'!$T$2:$T$251,0)))</f>
        <v/>
      </c>
      <c r="H186" s="26" t="str">
        <f>IF($A186="","",INDEX('Raw Data'!$H$2:$H$251,MATCH($A186,'Raw Data'!$T$2:$T$251,0)))</f>
        <v/>
      </c>
      <c r="I186" s="38" t="str">
        <f>IF($A186="","",INDEX('Raw Data'!$N$2:$N$251,MATCH($A186,'Raw Data'!$T$2:$T$251,0)))</f>
        <v/>
      </c>
    </row>
    <row r="187" spans="1:9" x14ac:dyDescent="0.25">
      <c r="A187" s="23" t="str">
        <f>IF(178&lt;=$C$7,178,"")</f>
        <v/>
      </c>
      <c r="B187" s="24" t="str">
        <f>IF($A187="","",INDEX('Raw Data'!$A$2:$A$251,MATCH($A187,'Raw Data'!$T$2:$T$251,0)))</f>
        <v/>
      </c>
      <c r="C187" s="46" t="str">
        <f>IF($A187="","",INDEX('Raw Data'!$B$2:$B$251,MATCH($A187,'Raw Data'!$T$2:$T$251,0)))</f>
        <v/>
      </c>
      <c r="D187" s="24" t="str">
        <f>IF($A187="","",INDEX('Raw Data'!$D$2:$D$251,MATCH($A187,'Raw Data'!$T$2:$T$251,0)))</f>
        <v/>
      </c>
      <c r="E187" s="24" t="str">
        <f>IF($A187="","",INDEX('Raw Data'!$F$2:$F$251,MATCH($A187,'Raw Data'!$T$2:$T$251,0)))</f>
        <v/>
      </c>
      <c r="F187" s="24" t="str">
        <f>IF($A187="","",INDEX('Raw Data'!$G$2:$G$251,MATCH($A187,'Raw Data'!$T$2:$T$251,0)))</f>
        <v/>
      </c>
      <c r="G187" s="24" t="str">
        <f>IF($A187="","",INDEX('Raw Data'!$K$2:$K$251,MATCH($A187,'Raw Data'!$T$2:$T$251,0)))</f>
        <v/>
      </c>
      <c r="H187" s="26" t="str">
        <f>IF($A187="","",INDEX('Raw Data'!$H$2:$H$251,MATCH($A187,'Raw Data'!$T$2:$T$251,0)))</f>
        <v/>
      </c>
      <c r="I187" s="38" t="str">
        <f>IF($A187="","",INDEX('Raw Data'!$N$2:$N$251,MATCH($A187,'Raw Data'!$T$2:$T$251,0)))</f>
        <v/>
      </c>
    </row>
    <row r="188" spans="1:9" x14ac:dyDescent="0.25">
      <c r="A188" s="23" t="str">
        <f>IF(179&lt;=$C$7,179,"")</f>
        <v/>
      </c>
      <c r="B188" s="24" t="str">
        <f>IF($A188="","",INDEX('Raw Data'!$A$2:$A$251,MATCH($A188,'Raw Data'!$T$2:$T$251,0)))</f>
        <v/>
      </c>
      <c r="C188" s="46" t="str">
        <f>IF($A188="","",INDEX('Raw Data'!$B$2:$B$251,MATCH($A188,'Raw Data'!$T$2:$T$251,0)))</f>
        <v/>
      </c>
      <c r="D188" s="24" t="str">
        <f>IF($A188="","",INDEX('Raw Data'!$D$2:$D$251,MATCH($A188,'Raw Data'!$T$2:$T$251,0)))</f>
        <v/>
      </c>
      <c r="E188" s="24" t="str">
        <f>IF($A188="","",INDEX('Raw Data'!$F$2:$F$251,MATCH($A188,'Raw Data'!$T$2:$T$251,0)))</f>
        <v/>
      </c>
      <c r="F188" s="24" t="str">
        <f>IF($A188="","",INDEX('Raw Data'!$G$2:$G$251,MATCH($A188,'Raw Data'!$T$2:$T$251,0)))</f>
        <v/>
      </c>
      <c r="G188" s="24" t="str">
        <f>IF($A188="","",INDEX('Raw Data'!$K$2:$K$251,MATCH($A188,'Raw Data'!$T$2:$T$251,0)))</f>
        <v/>
      </c>
      <c r="H188" s="26" t="str">
        <f>IF($A188="","",INDEX('Raw Data'!$H$2:$H$251,MATCH($A188,'Raw Data'!$T$2:$T$251,0)))</f>
        <v/>
      </c>
      <c r="I188" s="38" t="str">
        <f>IF($A188="","",INDEX('Raw Data'!$N$2:$N$251,MATCH($A188,'Raw Data'!$T$2:$T$251,0)))</f>
        <v/>
      </c>
    </row>
    <row r="189" spans="1:9" x14ac:dyDescent="0.25">
      <c r="A189" s="23" t="str">
        <f>IF(180&lt;=$C$7,180,"")</f>
        <v/>
      </c>
      <c r="B189" s="24" t="str">
        <f>IF($A189="","",INDEX('Raw Data'!$A$2:$A$251,MATCH($A189,'Raw Data'!$T$2:$T$251,0)))</f>
        <v/>
      </c>
      <c r="C189" s="46" t="str">
        <f>IF($A189="","",INDEX('Raw Data'!$B$2:$B$251,MATCH($A189,'Raw Data'!$T$2:$T$251,0)))</f>
        <v/>
      </c>
      <c r="D189" s="24" t="str">
        <f>IF($A189="","",INDEX('Raw Data'!$D$2:$D$251,MATCH($A189,'Raw Data'!$T$2:$T$251,0)))</f>
        <v/>
      </c>
      <c r="E189" s="24" t="str">
        <f>IF($A189="","",INDEX('Raw Data'!$F$2:$F$251,MATCH($A189,'Raw Data'!$T$2:$T$251,0)))</f>
        <v/>
      </c>
      <c r="F189" s="24" t="str">
        <f>IF($A189="","",INDEX('Raw Data'!$G$2:$G$251,MATCH($A189,'Raw Data'!$T$2:$T$251,0)))</f>
        <v/>
      </c>
      <c r="G189" s="24" t="str">
        <f>IF($A189="","",INDEX('Raw Data'!$K$2:$K$251,MATCH($A189,'Raw Data'!$T$2:$T$251,0)))</f>
        <v/>
      </c>
      <c r="H189" s="26" t="str">
        <f>IF($A189="","",INDEX('Raw Data'!$H$2:$H$251,MATCH($A189,'Raw Data'!$T$2:$T$251,0)))</f>
        <v/>
      </c>
      <c r="I189" s="38" t="str">
        <f>IF($A189="","",INDEX('Raw Data'!$N$2:$N$251,MATCH($A189,'Raw Data'!$T$2:$T$251,0)))</f>
        <v/>
      </c>
    </row>
    <row r="190" spans="1:9" x14ac:dyDescent="0.25">
      <c r="A190" s="23" t="str">
        <f>IF(181&lt;=$C$7,181,"")</f>
        <v/>
      </c>
      <c r="B190" s="24" t="str">
        <f>IF($A190="","",INDEX('Raw Data'!$A$2:$A$251,MATCH($A190,'Raw Data'!$T$2:$T$251,0)))</f>
        <v/>
      </c>
      <c r="C190" s="46" t="str">
        <f>IF($A190="","",INDEX('Raw Data'!$B$2:$B$251,MATCH($A190,'Raw Data'!$T$2:$T$251,0)))</f>
        <v/>
      </c>
      <c r="D190" s="24" t="str">
        <f>IF($A190="","",INDEX('Raw Data'!$D$2:$D$251,MATCH($A190,'Raw Data'!$T$2:$T$251,0)))</f>
        <v/>
      </c>
      <c r="E190" s="24" t="str">
        <f>IF($A190="","",INDEX('Raw Data'!$F$2:$F$251,MATCH($A190,'Raw Data'!$T$2:$T$251,0)))</f>
        <v/>
      </c>
      <c r="F190" s="24" t="str">
        <f>IF($A190="","",INDEX('Raw Data'!$G$2:$G$251,MATCH($A190,'Raw Data'!$T$2:$T$251,0)))</f>
        <v/>
      </c>
      <c r="G190" s="24" t="str">
        <f>IF($A190="","",INDEX('Raw Data'!$K$2:$K$251,MATCH($A190,'Raw Data'!$T$2:$T$251,0)))</f>
        <v/>
      </c>
      <c r="H190" s="26" t="str">
        <f>IF($A190="","",INDEX('Raw Data'!$H$2:$H$251,MATCH($A190,'Raw Data'!$T$2:$T$251,0)))</f>
        <v/>
      </c>
      <c r="I190" s="38" t="str">
        <f>IF($A190="","",INDEX('Raw Data'!$N$2:$N$251,MATCH($A190,'Raw Data'!$T$2:$T$251,0)))</f>
        <v/>
      </c>
    </row>
    <row r="191" spans="1:9" x14ac:dyDescent="0.25">
      <c r="A191" s="23" t="str">
        <f>IF(182&lt;=$C$7,182,"")</f>
        <v/>
      </c>
      <c r="B191" s="24" t="str">
        <f>IF($A191="","",INDEX('Raw Data'!$A$2:$A$251,MATCH($A191,'Raw Data'!$T$2:$T$251,0)))</f>
        <v/>
      </c>
      <c r="C191" s="46" t="str">
        <f>IF($A191="","",INDEX('Raw Data'!$B$2:$B$251,MATCH($A191,'Raw Data'!$T$2:$T$251,0)))</f>
        <v/>
      </c>
      <c r="D191" s="24" t="str">
        <f>IF($A191="","",INDEX('Raw Data'!$D$2:$D$251,MATCH($A191,'Raw Data'!$T$2:$T$251,0)))</f>
        <v/>
      </c>
      <c r="E191" s="24" t="str">
        <f>IF($A191="","",INDEX('Raw Data'!$F$2:$F$251,MATCH($A191,'Raw Data'!$T$2:$T$251,0)))</f>
        <v/>
      </c>
      <c r="F191" s="24" t="str">
        <f>IF($A191="","",INDEX('Raw Data'!$G$2:$G$251,MATCH($A191,'Raw Data'!$T$2:$T$251,0)))</f>
        <v/>
      </c>
      <c r="G191" s="24" t="str">
        <f>IF($A191="","",INDEX('Raw Data'!$K$2:$K$251,MATCH($A191,'Raw Data'!$T$2:$T$251,0)))</f>
        <v/>
      </c>
      <c r="H191" s="26" t="str">
        <f>IF($A191="","",INDEX('Raw Data'!$H$2:$H$251,MATCH($A191,'Raw Data'!$T$2:$T$251,0)))</f>
        <v/>
      </c>
      <c r="I191" s="38" t="str">
        <f>IF($A191="","",INDEX('Raw Data'!$N$2:$N$251,MATCH($A191,'Raw Data'!$T$2:$T$251,0)))</f>
        <v/>
      </c>
    </row>
    <row r="192" spans="1:9" x14ac:dyDescent="0.25">
      <c r="A192" s="23" t="str">
        <f>IF(183&lt;=$C$7,183,"")</f>
        <v/>
      </c>
      <c r="B192" s="24" t="str">
        <f>IF($A192="","",INDEX('Raw Data'!$A$2:$A$251,MATCH($A192,'Raw Data'!$T$2:$T$251,0)))</f>
        <v/>
      </c>
      <c r="C192" s="46" t="str">
        <f>IF($A192="","",INDEX('Raw Data'!$B$2:$B$251,MATCH($A192,'Raw Data'!$T$2:$T$251,0)))</f>
        <v/>
      </c>
      <c r="D192" s="24" t="str">
        <f>IF($A192="","",INDEX('Raw Data'!$D$2:$D$251,MATCH($A192,'Raw Data'!$T$2:$T$251,0)))</f>
        <v/>
      </c>
      <c r="E192" s="24" t="str">
        <f>IF($A192="","",INDEX('Raw Data'!$F$2:$F$251,MATCH($A192,'Raw Data'!$T$2:$T$251,0)))</f>
        <v/>
      </c>
      <c r="F192" s="24" t="str">
        <f>IF($A192="","",INDEX('Raw Data'!$G$2:$G$251,MATCH($A192,'Raw Data'!$T$2:$T$251,0)))</f>
        <v/>
      </c>
      <c r="G192" s="24" t="str">
        <f>IF($A192="","",INDEX('Raw Data'!$K$2:$K$251,MATCH($A192,'Raw Data'!$T$2:$T$251,0)))</f>
        <v/>
      </c>
      <c r="H192" s="26" t="str">
        <f>IF($A192="","",INDEX('Raw Data'!$H$2:$H$251,MATCH($A192,'Raw Data'!$T$2:$T$251,0)))</f>
        <v/>
      </c>
      <c r="I192" s="38" t="str">
        <f>IF($A192="","",INDEX('Raw Data'!$N$2:$N$251,MATCH($A192,'Raw Data'!$T$2:$T$251,0)))</f>
        <v/>
      </c>
    </row>
    <row r="193" spans="1:9" x14ac:dyDescent="0.25">
      <c r="A193" s="23" t="str">
        <f>IF(184&lt;=$C$7,184,"")</f>
        <v/>
      </c>
      <c r="B193" s="24" t="str">
        <f>IF($A193="","",INDEX('Raw Data'!$A$2:$A$251,MATCH($A193,'Raw Data'!$T$2:$T$251,0)))</f>
        <v/>
      </c>
      <c r="C193" s="46" t="str">
        <f>IF($A193="","",INDEX('Raw Data'!$B$2:$B$251,MATCH($A193,'Raw Data'!$T$2:$T$251,0)))</f>
        <v/>
      </c>
      <c r="D193" s="24" t="str">
        <f>IF($A193="","",INDEX('Raw Data'!$D$2:$D$251,MATCH($A193,'Raw Data'!$T$2:$T$251,0)))</f>
        <v/>
      </c>
      <c r="E193" s="24" t="str">
        <f>IF($A193="","",INDEX('Raw Data'!$F$2:$F$251,MATCH($A193,'Raw Data'!$T$2:$T$251,0)))</f>
        <v/>
      </c>
      <c r="F193" s="24" t="str">
        <f>IF($A193="","",INDEX('Raw Data'!$G$2:$G$251,MATCH($A193,'Raw Data'!$T$2:$T$251,0)))</f>
        <v/>
      </c>
      <c r="G193" s="24" t="str">
        <f>IF($A193="","",INDEX('Raw Data'!$K$2:$K$251,MATCH($A193,'Raw Data'!$T$2:$T$251,0)))</f>
        <v/>
      </c>
      <c r="H193" s="26" t="str">
        <f>IF($A193="","",INDEX('Raw Data'!$H$2:$H$251,MATCH($A193,'Raw Data'!$T$2:$T$251,0)))</f>
        <v/>
      </c>
      <c r="I193" s="38" t="str">
        <f>IF($A193="","",INDEX('Raw Data'!$N$2:$N$251,MATCH($A193,'Raw Data'!$T$2:$T$251,0)))</f>
        <v/>
      </c>
    </row>
    <row r="194" spans="1:9" x14ac:dyDescent="0.25">
      <c r="A194" s="23" t="str">
        <f>IF(185&lt;=$C$7,185,"")</f>
        <v/>
      </c>
      <c r="B194" s="24" t="str">
        <f>IF($A194="","",INDEX('Raw Data'!$A$2:$A$251,MATCH($A194,'Raw Data'!$T$2:$T$251,0)))</f>
        <v/>
      </c>
      <c r="C194" s="46" t="str">
        <f>IF($A194="","",INDEX('Raw Data'!$B$2:$B$251,MATCH($A194,'Raw Data'!$T$2:$T$251,0)))</f>
        <v/>
      </c>
      <c r="D194" s="24" t="str">
        <f>IF($A194="","",INDEX('Raw Data'!$D$2:$D$251,MATCH($A194,'Raw Data'!$T$2:$T$251,0)))</f>
        <v/>
      </c>
      <c r="E194" s="24" t="str">
        <f>IF($A194="","",INDEX('Raw Data'!$F$2:$F$251,MATCH($A194,'Raw Data'!$T$2:$T$251,0)))</f>
        <v/>
      </c>
      <c r="F194" s="24" t="str">
        <f>IF($A194="","",INDEX('Raw Data'!$G$2:$G$251,MATCH($A194,'Raw Data'!$T$2:$T$251,0)))</f>
        <v/>
      </c>
      <c r="G194" s="24" t="str">
        <f>IF($A194="","",INDEX('Raw Data'!$K$2:$K$251,MATCH($A194,'Raw Data'!$T$2:$T$251,0)))</f>
        <v/>
      </c>
      <c r="H194" s="26" t="str">
        <f>IF($A194="","",INDEX('Raw Data'!$H$2:$H$251,MATCH($A194,'Raw Data'!$T$2:$T$251,0)))</f>
        <v/>
      </c>
      <c r="I194" s="38" t="str">
        <f>IF($A194="","",INDEX('Raw Data'!$N$2:$N$251,MATCH($A194,'Raw Data'!$T$2:$T$251,0)))</f>
        <v/>
      </c>
    </row>
    <row r="195" spans="1:9" x14ac:dyDescent="0.25">
      <c r="A195" s="23" t="str">
        <f>IF(186&lt;=$C$7,186,"")</f>
        <v/>
      </c>
      <c r="B195" s="24" t="str">
        <f>IF($A195="","",INDEX('Raw Data'!$A$2:$A$251,MATCH($A195,'Raw Data'!$T$2:$T$251,0)))</f>
        <v/>
      </c>
      <c r="C195" s="46" t="str">
        <f>IF($A195="","",INDEX('Raw Data'!$B$2:$B$251,MATCH($A195,'Raw Data'!$T$2:$T$251,0)))</f>
        <v/>
      </c>
      <c r="D195" s="24" t="str">
        <f>IF($A195="","",INDEX('Raw Data'!$D$2:$D$251,MATCH($A195,'Raw Data'!$T$2:$T$251,0)))</f>
        <v/>
      </c>
      <c r="E195" s="24" t="str">
        <f>IF($A195="","",INDEX('Raw Data'!$F$2:$F$251,MATCH($A195,'Raw Data'!$T$2:$T$251,0)))</f>
        <v/>
      </c>
      <c r="F195" s="24" t="str">
        <f>IF($A195="","",INDEX('Raw Data'!$G$2:$G$251,MATCH($A195,'Raw Data'!$T$2:$T$251,0)))</f>
        <v/>
      </c>
      <c r="G195" s="24" t="str">
        <f>IF($A195="","",INDEX('Raw Data'!$K$2:$K$251,MATCH($A195,'Raw Data'!$T$2:$T$251,0)))</f>
        <v/>
      </c>
      <c r="H195" s="26" t="str">
        <f>IF($A195="","",INDEX('Raw Data'!$H$2:$H$251,MATCH($A195,'Raw Data'!$T$2:$T$251,0)))</f>
        <v/>
      </c>
      <c r="I195" s="38" t="str">
        <f>IF($A195="","",INDEX('Raw Data'!$N$2:$N$251,MATCH($A195,'Raw Data'!$T$2:$T$251,0)))</f>
        <v/>
      </c>
    </row>
    <row r="196" spans="1:9" x14ac:dyDescent="0.25">
      <c r="A196" s="23" t="str">
        <f>IF(187&lt;=$C$7,187,"")</f>
        <v/>
      </c>
      <c r="B196" s="24" t="str">
        <f>IF($A196="","",INDEX('Raw Data'!$A$2:$A$251,MATCH($A196,'Raw Data'!$T$2:$T$251,0)))</f>
        <v/>
      </c>
      <c r="C196" s="46" t="str">
        <f>IF($A196="","",INDEX('Raw Data'!$B$2:$B$251,MATCH($A196,'Raw Data'!$T$2:$T$251,0)))</f>
        <v/>
      </c>
      <c r="D196" s="24" t="str">
        <f>IF($A196="","",INDEX('Raw Data'!$D$2:$D$251,MATCH($A196,'Raw Data'!$T$2:$T$251,0)))</f>
        <v/>
      </c>
      <c r="E196" s="24" t="str">
        <f>IF($A196="","",INDEX('Raw Data'!$F$2:$F$251,MATCH($A196,'Raw Data'!$T$2:$T$251,0)))</f>
        <v/>
      </c>
      <c r="F196" s="24" t="str">
        <f>IF($A196="","",INDEX('Raw Data'!$G$2:$G$251,MATCH($A196,'Raw Data'!$T$2:$T$251,0)))</f>
        <v/>
      </c>
      <c r="G196" s="24" t="str">
        <f>IF($A196="","",INDEX('Raw Data'!$K$2:$K$251,MATCH($A196,'Raw Data'!$T$2:$T$251,0)))</f>
        <v/>
      </c>
      <c r="H196" s="26" t="str">
        <f>IF($A196="","",INDEX('Raw Data'!$H$2:$H$251,MATCH($A196,'Raw Data'!$T$2:$T$251,0)))</f>
        <v/>
      </c>
      <c r="I196" s="38" t="str">
        <f>IF($A196="","",INDEX('Raw Data'!$N$2:$N$251,MATCH($A196,'Raw Data'!$T$2:$T$251,0)))</f>
        <v/>
      </c>
    </row>
    <row r="197" spans="1:9" x14ac:dyDescent="0.25">
      <c r="A197" s="23" t="str">
        <f>IF(188&lt;=$C$7,188,"")</f>
        <v/>
      </c>
      <c r="B197" s="24" t="str">
        <f>IF($A197="","",INDEX('Raw Data'!$A$2:$A$251,MATCH($A197,'Raw Data'!$T$2:$T$251,0)))</f>
        <v/>
      </c>
      <c r="C197" s="46" t="str">
        <f>IF($A197="","",INDEX('Raw Data'!$B$2:$B$251,MATCH($A197,'Raw Data'!$T$2:$T$251,0)))</f>
        <v/>
      </c>
      <c r="D197" s="24" t="str">
        <f>IF($A197="","",INDEX('Raw Data'!$D$2:$D$251,MATCH($A197,'Raw Data'!$T$2:$T$251,0)))</f>
        <v/>
      </c>
      <c r="E197" s="24" t="str">
        <f>IF($A197="","",INDEX('Raw Data'!$F$2:$F$251,MATCH($A197,'Raw Data'!$T$2:$T$251,0)))</f>
        <v/>
      </c>
      <c r="F197" s="24" t="str">
        <f>IF($A197="","",INDEX('Raw Data'!$G$2:$G$251,MATCH($A197,'Raw Data'!$T$2:$T$251,0)))</f>
        <v/>
      </c>
      <c r="G197" s="24" t="str">
        <f>IF($A197="","",INDEX('Raw Data'!$K$2:$K$251,MATCH($A197,'Raw Data'!$T$2:$T$251,0)))</f>
        <v/>
      </c>
      <c r="H197" s="26" t="str">
        <f>IF($A197="","",INDEX('Raw Data'!$H$2:$H$251,MATCH($A197,'Raw Data'!$T$2:$T$251,0)))</f>
        <v/>
      </c>
      <c r="I197" s="38" t="str">
        <f>IF($A197="","",INDEX('Raw Data'!$N$2:$N$251,MATCH($A197,'Raw Data'!$T$2:$T$251,0)))</f>
        <v/>
      </c>
    </row>
    <row r="198" spans="1:9" x14ac:dyDescent="0.25">
      <c r="A198" s="23" t="str">
        <f>IF(189&lt;=$C$7,189,"")</f>
        <v/>
      </c>
      <c r="B198" s="24" t="str">
        <f>IF($A198="","",INDEX('Raw Data'!$A$2:$A$251,MATCH($A198,'Raw Data'!$T$2:$T$251,0)))</f>
        <v/>
      </c>
      <c r="C198" s="46" t="str">
        <f>IF($A198="","",INDEX('Raw Data'!$B$2:$B$251,MATCH($A198,'Raw Data'!$T$2:$T$251,0)))</f>
        <v/>
      </c>
      <c r="D198" s="24" t="str">
        <f>IF($A198="","",INDEX('Raw Data'!$D$2:$D$251,MATCH($A198,'Raw Data'!$T$2:$T$251,0)))</f>
        <v/>
      </c>
      <c r="E198" s="24" t="str">
        <f>IF($A198="","",INDEX('Raw Data'!$F$2:$F$251,MATCH($A198,'Raw Data'!$T$2:$T$251,0)))</f>
        <v/>
      </c>
      <c r="F198" s="24" t="str">
        <f>IF($A198="","",INDEX('Raw Data'!$G$2:$G$251,MATCH($A198,'Raw Data'!$T$2:$T$251,0)))</f>
        <v/>
      </c>
      <c r="G198" s="24" t="str">
        <f>IF($A198="","",INDEX('Raw Data'!$K$2:$K$251,MATCH($A198,'Raw Data'!$T$2:$T$251,0)))</f>
        <v/>
      </c>
      <c r="H198" s="26" t="str">
        <f>IF($A198="","",INDEX('Raw Data'!$H$2:$H$251,MATCH($A198,'Raw Data'!$T$2:$T$251,0)))</f>
        <v/>
      </c>
      <c r="I198" s="38" t="str">
        <f>IF($A198="","",INDEX('Raw Data'!$N$2:$N$251,MATCH($A198,'Raw Data'!$T$2:$T$251,0)))</f>
        <v/>
      </c>
    </row>
    <row r="199" spans="1:9" x14ac:dyDescent="0.25">
      <c r="A199" s="23" t="str">
        <f>IF(190&lt;=$C$7,190,"")</f>
        <v/>
      </c>
      <c r="B199" s="24" t="str">
        <f>IF($A199="","",INDEX('Raw Data'!$A$2:$A$251,MATCH($A199,'Raw Data'!$T$2:$T$251,0)))</f>
        <v/>
      </c>
      <c r="C199" s="46" t="str">
        <f>IF($A199="","",INDEX('Raw Data'!$B$2:$B$251,MATCH($A199,'Raw Data'!$T$2:$T$251,0)))</f>
        <v/>
      </c>
      <c r="D199" s="24" t="str">
        <f>IF($A199="","",INDEX('Raw Data'!$D$2:$D$251,MATCH($A199,'Raw Data'!$T$2:$T$251,0)))</f>
        <v/>
      </c>
      <c r="E199" s="24" t="str">
        <f>IF($A199="","",INDEX('Raw Data'!$F$2:$F$251,MATCH($A199,'Raw Data'!$T$2:$T$251,0)))</f>
        <v/>
      </c>
      <c r="F199" s="24" t="str">
        <f>IF($A199="","",INDEX('Raw Data'!$G$2:$G$251,MATCH($A199,'Raw Data'!$T$2:$T$251,0)))</f>
        <v/>
      </c>
      <c r="G199" s="24" t="str">
        <f>IF($A199="","",INDEX('Raw Data'!$K$2:$K$251,MATCH($A199,'Raw Data'!$T$2:$T$251,0)))</f>
        <v/>
      </c>
      <c r="H199" s="26" t="str">
        <f>IF($A199="","",INDEX('Raw Data'!$H$2:$H$251,MATCH($A199,'Raw Data'!$T$2:$T$251,0)))</f>
        <v/>
      </c>
      <c r="I199" s="38" t="str">
        <f>IF($A199="","",INDEX('Raw Data'!$N$2:$N$251,MATCH($A199,'Raw Data'!$T$2:$T$251,0)))</f>
        <v/>
      </c>
    </row>
    <row r="200" spans="1:9" x14ac:dyDescent="0.25">
      <c r="A200" s="23" t="str">
        <f>IF(191&lt;=$C$7,191,"")</f>
        <v/>
      </c>
      <c r="B200" s="24" t="str">
        <f>IF($A200="","",INDEX('Raw Data'!$A$2:$A$251,MATCH($A200,'Raw Data'!$T$2:$T$251,0)))</f>
        <v/>
      </c>
      <c r="C200" s="46" t="str">
        <f>IF($A200="","",INDEX('Raw Data'!$B$2:$B$251,MATCH($A200,'Raw Data'!$T$2:$T$251,0)))</f>
        <v/>
      </c>
      <c r="D200" s="24" t="str">
        <f>IF($A200="","",INDEX('Raw Data'!$D$2:$D$251,MATCH($A200,'Raw Data'!$T$2:$T$251,0)))</f>
        <v/>
      </c>
      <c r="E200" s="24" t="str">
        <f>IF($A200="","",INDEX('Raw Data'!$F$2:$F$251,MATCH($A200,'Raw Data'!$T$2:$T$251,0)))</f>
        <v/>
      </c>
      <c r="F200" s="24" t="str">
        <f>IF($A200="","",INDEX('Raw Data'!$G$2:$G$251,MATCH($A200,'Raw Data'!$T$2:$T$251,0)))</f>
        <v/>
      </c>
      <c r="G200" s="24" t="str">
        <f>IF($A200="","",INDEX('Raw Data'!$K$2:$K$251,MATCH($A200,'Raw Data'!$T$2:$T$251,0)))</f>
        <v/>
      </c>
      <c r="H200" s="26" t="str">
        <f>IF($A200="","",INDEX('Raw Data'!$H$2:$H$251,MATCH($A200,'Raw Data'!$T$2:$T$251,0)))</f>
        <v/>
      </c>
      <c r="I200" s="38" t="str">
        <f>IF($A200="","",INDEX('Raw Data'!$N$2:$N$251,MATCH($A200,'Raw Data'!$T$2:$T$251,0)))</f>
        <v/>
      </c>
    </row>
    <row r="201" spans="1:9" x14ac:dyDescent="0.25">
      <c r="A201" s="23" t="str">
        <f>IF(192&lt;=$C$7,192,"")</f>
        <v/>
      </c>
      <c r="B201" s="24" t="str">
        <f>IF($A201="","",INDEX('Raw Data'!$A$2:$A$251,MATCH($A201,'Raw Data'!$T$2:$T$251,0)))</f>
        <v/>
      </c>
      <c r="C201" s="46" t="str">
        <f>IF($A201="","",INDEX('Raw Data'!$B$2:$B$251,MATCH($A201,'Raw Data'!$T$2:$T$251,0)))</f>
        <v/>
      </c>
      <c r="D201" s="24" t="str">
        <f>IF($A201="","",INDEX('Raw Data'!$D$2:$D$251,MATCH($A201,'Raw Data'!$T$2:$T$251,0)))</f>
        <v/>
      </c>
      <c r="E201" s="24" t="str">
        <f>IF($A201="","",INDEX('Raw Data'!$F$2:$F$251,MATCH($A201,'Raw Data'!$T$2:$T$251,0)))</f>
        <v/>
      </c>
      <c r="F201" s="24" t="str">
        <f>IF($A201="","",INDEX('Raw Data'!$G$2:$G$251,MATCH($A201,'Raw Data'!$T$2:$T$251,0)))</f>
        <v/>
      </c>
      <c r="G201" s="24" t="str">
        <f>IF($A201="","",INDEX('Raw Data'!$K$2:$K$251,MATCH($A201,'Raw Data'!$T$2:$T$251,0)))</f>
        <v/>
      </c>
      <c r="H201" s="26" t="str">
        <f>IF($A201="","",INDEX('Raw Data'!$H$2:$H$251,MATCH($A201,'Raw Data'!$T$2:$T$251,0)))</f>
        <v/>
      </c>
      <c r="I201" s="38" t="str">
        <f>IF($A201="","",INDEX('Raw Data'!$N$2:$N$251,MATCH($A201,'Raw Data'!$T$2:$T$251,0)))</f>
        <v/>
      </c>
    </row>
    <row r="202" spans="1:9" x14ac:dyDescent="0.25">
      <c r="A202" s="23" t="str">
        <f>IF(193&lt;=$C$7,193,"")</f>
        <v/>
      </c>
      <c r="B202" s="24" t="str">
        <f>IF($A202="","",INDEX('Raw Data'!$A$2:$A$251,MATCH($A202,'Raw Data'!$T$2:$T$251,0)))</f>
        <v/>
      </c>
      <c r="C202" s="46" t="str">
        <f>IF($A202="","",INDEX('Raw Data'!$B$2:$B$251,MATCH($A202,'Raw Data'!$T$2:$T$251,0)))</f>
        <v/>
      </c>
      <c r="D202" s="24" t="str">
        <f>IF($A202="","",INDEX('Raw Data'!$D$2:$D$251,MATCH($A202,'Raw Data'!$T$2:$T$251,0)))</f>
        <v/>
      </c>
      <c r="E202" s="24" t="str">
        <f>IF($A202="","",INDEX('Raw Data'!$F$2:$F$251,MATCH($A202,'Raw Data'!$T$2:$T$251,0)))</f>
        <v/>
      </c>
      <c r="F202" s="24" t="str">
        <f>IF($A202="","",INDEX('Raw Data'!$G$2:$G$251,MATCH($A202,'Raw Data'!$T$2:$T$251,0)))</f>
        <v/>
      </c>
      <c r="G202" s="24" t="str">
        <f>IF($A202="","",INDEX('Raw Data'!$K$2:$K$251,MATCH($A202,'Raw Data'!$T$2:$T$251,0)))</f>
        <v/>
      </c>
      <c r="H202" s="26" t="str">
        <f>IF($A202="","",INDEX('Raw Data'!$H$2:$H$251,MATCH($A202,'Raw Data'!$T$2:$T$251,0)))</f>
        <v/>
      </c>
      <c r="I202" s="38" t="str">
        <f>IF($A202="","",INDEX('Raw Data'!$N$2:$N$251,MATCH($A202,'Raw Data'!$T$2:$T$251,0)))</f>
        <v/>
      </c>
    </row>
    <row r="203" spans="1:9" x14ac:dyDescent="0.25">
      <c r="A203" s="23" t="str">
        <f>IF(194&lt;=$C$7,194,"")</f>
        <v/>
      </c>
      <c r="B203" s="24" t="str">
        <f>IF($A203="","",INDEX('Raw Data'!$A$2:$A$251,MATCH($A203,'Raw Data'!$T$2:$T$251,0)))</f>
        <v/>
      </c>
      <c r="C203" s="46" t="str">
        <f>IF($A203="","",INDEX('Raw Data'!$B$2:$B$251,MATCH($A203,'Raw Data'!$T$2:$T$251,0)))</f>
        <v/>
      </c>
      <c r="D203" s="24" t="str">
        <f>IF($A203="","",INDEX('Raw Data'!$D$2:$D$251,MATCH($A203,'Raw Data'!$T$2:$T$251,0)))</f>
        <v/>
      </c>
      <c r="E203" s="24" t="str">
        <f>IF($A203="","",INDEX('Raw Data'!$F$2:$F$251,MATCH($A203,'Raw Data'!$T$2:$T$251,0)))</f>
        <v/>
      </c>
      <c r="F203" s="24" t="str">
        <f>IF($A203="","",INDEX('Raw Data'!$G$2:$G$251,MATCH($A203,'Raw Data'!$T$2:$T$251,0)))</f>
        <v/>
      </c>
      <c r="G203" s="24" t="str">
        <f>IF($A203="","",INDEX('Raw Data'!$K$2:$K$251,MATCH($A203,'Raw Data'!$T$2:$T$251,0)))</f>
        <v/>
      </c>
      <c r="H203" s="26" t="str">
        <f>IF($A203="","",INDEX('Raw Data'!$H$2:$H$251,MATCH($A203,'Raw Data'!$T$2:$T$251,0)))</f>
        <v/>
      </c>
      <c r="I203" s="38" t="str">
        <f>IF($A203="","",INDEX('Raw Data'!$N$2:$N$251,MATCH($A203,'Raw Data'!$T$2:$T$251,0)))</f>
        <v/>
      </c>
    </row>
    <row r="204" spans="1:9" x14ac:dyDescent="0.25">
      <c r="A204" s="23" t="str">
        <f>IF(195&lt;=$C$7,195,"")</f>
        <v/>
      </c>
      <c r="B204" s="24" t="str">
        <f>IF($A204="","",INDEX('Raw Data'!$A$2:$A$251,MATCH($A204,'Raw Data'!$T$2:$T$251,0)))</f>
        <v/>
      </c>
      <c r="C204" s="46" t="str">
        <f>IF($A204="","",INDEX('Raw Data'!$B$2:$B$251,MATCH($A204,'Raw Data'!$T$2:$T$251,0)))</f>
        <v/>
      </c>
      <c r="D204" s="24" t="str">
        <f>IF($A204="","",INDEX('Raw Data'!$D$2:$D$251,MATCH($A204,'Raw Data'!$T$2:$T$251,0)))</f>
        <v/>
      </c>
      <c r="E204" s="24" t="str">
        <f>IF($A204="","",INDEX('Raw Data'!$F$2:$F$251,MATCH($A204,'Raw Data'!$T$2:$T$251,0)))</f>
        <v/>
      </c>
      <c r="F204" s="24" t="str">
        <f>IF($A204="","",INDEX('Raw Data'!$G$2:$G$251,MATCH($A204,'Raw Data'!$T$2:$T$251,0)))</f>
        <v/>
      </c>
      <c r="G204" s="24" t="str">
        <f>IF($A204="","",INDEX('Raw Data'!$K$2:$K$251,MATCH($A204,'Raw Data'!$T$2:$T$251,0)))</f>
        <v/>
      </c>
      <c r="H204" s="26" t="str">
        <f>IF($A204="","",INDEX('Raw Data'!$H$2:$H$251,MATCH($A204,'Raw Data'!$T$2:$T$251,0)))</f>
        <v/>
      </c>
      <c r="I204" s="38" t="str">
        <f>IF($A204="","",INDEX('Raw Data'!$N$2:$N$251,MATCH($A204,'Raw Data'!$T$2:$T$251,0)))</f>
        <v/>
      </c>
    </row>
    <row r="205" spans="1:9" x14ac:dyDescent="0.25">
      <c r="A205" s="23" t="str">
        <f>IF(196&lt;=$C$7,196,"")</f>
        <v/>
      </c>
      <c r="B205" s="24" t="str">
        <f>IF($A205="","",INDEX('Raw Data'!$A$2:$A$251,MATCH($A205,'Raw Data'!$T$2:$T$251,0)))</f>
        <v/>
      </c>
      <c r="C205" s="46" t="str">
        <f>IF($A205="","",INDEX('Raw Data'!$B$2:$B$251,MATCH($A205,'Raw Data'!$T$2:$T$251,0)))</f>
        <v/>
      </c>
      <c r="D205" s="24" t="str">
        <f>IF($A205="","",INDEX('Raw Data'!$D$2:$D$251,MATCH($A205,'Raw Data'!$T$2:$T$251,0)))</f>
        <v/>
      </c>
      <c r="E205" s="24" t="str">
        <f>IF($A205="","",INDEX('Raw Data'!$F$2:$F$251,MATCH($A205,'Raw Data'!$T$2:$T$251,0)))</f>
        <v/>
      </c>
      <c r="F205" s="24" t="str">
        <f>IF($A205="","",INDEX('Raw Data'!$G$2:$G$251,MATCH($A205,'Raw Data'!$T$2:$T$251,0)))</f>
        <v/>
      </c>
      <c r="G205" s="24" t="str">
        <f>IF($A205="","",INDEX('Raw Data'!$K$2:$K$251,MATCH($A205,'Raw Data'!$T$2:$T$251,0)))</f>
        <v/>
      </c>
      <c r="H205" s="26" t="str">
        <f>IF($A205="","",INDEX('Raw Data'!$H$2:$H$251,MATCH($A205,'Raw Data'!$T$2:$T$251,0)))</f>
        <v/>
      </c>
      <c r="I205" s="38" t="str">
        <f>IF($A205="","",INDEX('Raw Data'!$N$2:$N$251,MATCH($A205,'Raw Data'!$T$2:$T$251,0)))</f>
        <v/>
      </c>
    </row>
    <row r="206" spans="1:9" x14ac:dyDescent="0.25">
      <c r="A206" s="23" t="str">
        <f>IF(197&lt;=$C$7,197,"")</f>
        <v/>
      </c>
      <c r="B206" s="24" t="str">
        <f>IF($A206="","",INDEX('Raw Data'!$A$2:$A$251,MATCH($A206,'Raw Data'!$T$2:$T$251,0)))</f>
        <v/>
      </c>
      <c r="C206" s="46" t="str">
        <f>IF($A206="","",INDEX('Raw Data'!$B$2:$B$251,MATCH($A206,'Raw Data'!$T$2:$T$251,0)))</f>
        <v/>
      </c>
      <c r="D206" s="24" t="str">
        <f>IF($A206="","",INDEX('Raw Data'!$D$2:$D$251,MATCH($A206,'Raw Data'!$T$2:$T$251,0)))</f>
        <v/>
      </c>
      <c r="E206" s="24" t="str">
        <f>IF($A206="","",INDEX('Raw Data'!$F$2:$F$251,MATCH($A206,'Raw Data'!$T$2:$T$251,0)))</f>
        <v/>
      </c>
      <c r="F206" s="24" t="str">
        <f>IF($A206="","",INDEX('Raw Data'!$G$2:$G$251,MATCH($A206,'Raw Data'!$T$2:$T$251,0)))</f>
        <v/>
      </c>
      <c r="G206" s="24" t="str">
        <f>IF($A206="","",INDEX('Raw Data'!$K$2:$K$251,MATCH($A206,'Raw Data'!$T$2:$T$251,0)))</f>
        <v/>
      </c>
      <c r="H206" s="26" t="str">
        <f>IF($A206="","",INDEX('Raw Data'!$H$2:$H$251,MATCH($A206,'Raw Data'!$T$2:$T$251,0)))</f>
        <v/>
      </c>
      <c r="I206" s="38" t="str">
        <f>IF($A206="","",INDEX('Raw Data'!$N$2:$N$251,MATCH($A206,'Raw Data'!$T$2:$T$251,0)))</f>
        <v/>
      </c>
    </row>
    <row r="207" spans="1:9" x14ac:dyDescent="0.25">
      <c r="A207" s="23" t="str">
        <f>IF(198&lt;=$C$7,198,"")</f>
        <v/>
      </c>
      <c r="B207" s="24" t="str">
        <f>IF($A207="","",INDEX('Raw Data'!$A$2:$A$251,MATCH($A207,'Raw Data'!$T$2:$T$251,0)))</f>
        <v/>
      </c>
      <c r="C207" s="46" t="str">
        <f>IF($A207="","",INDEX('Raw Data'!$B$2:$B$251,MATCH($A207,'Raw Data'!$T$2:$T$251,0)))</f>
        <v/>
      </c>
      <c r="D207" s="24" t="str">
        <f>IF($A207="","",INDEX('Raw Data'!$D$2:$D$251,MATCH($A207,'Raw Data'!$T$2:$T$251,0)))</f>
        <v/>
      </c>
      <c r="E207" s="24" t="str">
        <f>IF($A207="","",INDEX('Raw Data'!$F$2:$F$251,MATCH($A207,'Raw Data'!$T$2:$T$251,0)))</f>
        <v/>
      </c>
      <c r="F207" s="24" t="str">
        <f>IF($A207="","",INDEX('Raw Data'!$G$2:$G$251,MATCH($A207,'Raw Data'!$T$2:$T$251,0)))</f>
        <v/>
      </c>
      <c r="G207" s="24" t="str">
        <f>IF($A207="","",INDEX('Raw Data'!$K$2:$K$251,MATCH($A207,'Raw Data'!$T$2:$T$251,0)))</f>
        <v/>
      </c>
      <c r="H207" s="26" t="str">
        <f>IF($A207="","",INDEX('Raw Data'!$H$2:$H$251,MATCH($A207,'Raw Data'!$T$2:$T$251,0)))</f>
        <v/>
      </c>
      <c r="I207" s="38" t="str">
        <f>IF($A207="","",INDEX('Raw Data'!$N$2:$N$251,MATCH($A207,'Raw Data'!$T$2:$T$251,0)))</f>
        <v/>
      </c>
    </row>
    <row r="208" spans="1:9" x14ac:dyDescent="0.25">
      <c r="A208" s="23" t="str">
        <f>IF(199&lt;=$C$7,199,"")</f>
        <v/>
      </c>
      <c r="B208" s="24" t="str">
        <f>IF($A208="","",INDEX('Raw Data'!$A$2:$A$251,MATCH($A208,'Raw Data'!$T$2:$T$251,0)))</f>
        <v/>
      </c>
      <c r="C208" s="46" t="str">
        <f>IF($A208="","",INDEX('Raw Data'!$B$2:$B$251,MATCH($A208,'Raw Data'!$T$2:$T$251,0)))</f>
        <v/>
      </c>
      <c r="D208" s="24" t="str">
        <f>IF($A208="","",INDEX('Raw Data'!$D$2:$D$251,MATCH($A208,'Raw Data'!$T$2:$T$251,0)))</f>
        <v/>
      </c>
      <c r="E208" s="24" t="str">
        <f>IF($A208="","",INDEX('Raw Data'!$F$2:$F$251,MATCH($A208,'Raw Data'!$T$2:$T$251,0)))</f>
        <v/>
      </c>
      <c r="F208" s="24" t="str">
        <f>IF($A208="","",INDEX('Raw Data'!$G$2:$G$251,MATCH($A208,'Raw Data'!$T$2:$T$251,0)))</f>
        <v/>
      </c>
      <c r="G208" s="24" t="str">
        <f>IF($A208="","",INDEX('Raw Data'!$K$2:$K$251,MATCH($A208,'Raw Data'!$T$2:$T$251,0)))</f>
        <v/>
      </c>
      <c r="H208" s="26" t="str">
        <f>IF($A208="","",INDEX('Raw Data'!$H$2:$H$251,MATCH($A208,'Raw Data'!$T$2:$T$251,0)))</f>
        <v/>
      </c>
      <c r="I208" s="38" t="str">
        <f>IF($A208="","",INDEX('Raw Data'!$N$2:$N$251,MATCH($A208,'Raw Data'!$T$2:$T$251,0)))</f>
        <v/>
      </c>
    </row>
    <row r="209" spans="1:9" x14ac:dyDescent="0.25">
      <c r="A209" s="23" t="str">
        <f>IF(200&lt;=$C$7,200,"")</f>
        <v/>
      </c>
      <c r="B209" s="24" t="str">
        <f>IF($A209="","",INDEX('Raw Data'!$A$2:$A$251,MATCH($A209,'Raw Data'!$T$2:$T$251,0)))</f>
        <v/>
      </c>
      <c r="C209" s="46" t="str">
        <f>IF($A209="","",INDEX('Raw Data'!$B$2:$B$251,MATCH($A209,'Raw Data'!$T$2:$T$251,0)))</f>
        <v/>
      </c>
      <c r="D209" s="24" t="str">
        <f>IF($A209="","",INDEX('Raw Data'!$D$2:$D$251,MATCH($A209,'Raw Data'!$T$2:$T$251,0)))</f>
        <v/>
      </c>
      <c r="E209" s="24" t="str">
        <f>IF($A209="","",INDEX('Raw Data'!$F$2:$F$251,MATCH($A209,'Raw Data'!$T$2:$T$251,0)))</f>
        <v/>
      </c>
      <c r="F209" s="24" t="str">
        <f>IF($A209="","",INDEX('Raw Data'!$G$2:$G$251,MATCH($A209,'Raw Data'!$T$2:$T$251,0)))</f>
        <v/>
      </c>
      <c r="G209" s="24" t="str">
        <f>IF($A209="","",INDEX('Raw Data'!$K$2:$K$251,MATCH($A209,'Raw Data'!$T$2:$T$251,0)))</f>
        <v/>
      </c>
      <c r="H209" s="26" t="str">
        <f>IF($A209="","",INDEX('Raw Data'!$H$2:$H$251,MATCH($A209,'Raw Data'!$T$2:$T$251,0)))</f>
        <v/>
      </c>
      <c r="I209" s="38" t="str">
        <f>IF($A209="","",INDEX('Raw Data'!$N$2:$N$251,MATCH($A209,'Raw Data'!$T$2:$T$251,0)))</f>
        <v/>
      </c>
    </row>
    <row r="210" spans="1:9" x14ac:dyDescent="0.25">
      <c r="A210" s="23" t="str">
        <f>IF(201&lt;=$C$7,201,"")</f>
        <v/>
      </c>
      <c r="B210" s="24" t="str">
        <f>IF($A210="","",INDEX('Raw Data'!$A$2:$A$251,MATCH($A210,'Raw Data'!$T$2:$T$251,0)))</f>
        <v/>
      </c>
      <c r="C210" s="46" t="str">
        <f>IF($A210="","",INDEX('Raw Data'!$B$2:$B$251,MATCH($A210,'Raw Data'!$T$2:$T$251,0)))</f>
        <v/>
      </c>
      <c r="D210" s="24" t="str">
        <f>IF($A210="","",INDEX('Raw Data'!$D$2:$D$251,MATCH($A210,'Raw Data'!$T$2:$T$251,0)))</f>
        <v/>
      </c>
      <c r="E210" s="24" t="str">
        <f>IF($A210="","",INDEX('Raw Data'!$F$2:$F$251,MATCH($A210,'Raw Data'!$T$2:$T$251,0)))</f>
        <v/>
      </c>
      <c r="F210" s="24" t="str">
        <f>IF($A210="","",INDEX('Raw Data'!$G$2:$G$251,MATCH($A210,'Raw Data'!$T$2:$T$251,0)))</f>
        <v/>
      </c>
      <c r="G210" s="24" t="str">
        <f>IF($A210="","",INDEX('Raw Data'!$K$2:$K$251,MATCH($A210,'Raw Data'!$T$2:$T$251,0)))</f>
        <v/>
      </c>
      <c r="H210" s="26" t="str">
        <f>IF($A210="","",INDEX('Raw Data'!$H$2:$H$251,MATCH($A210,'Raw Data'!$T$2:$T$251,0)))</f>
        <v/>
      </c>
      <c r="I210" s="38" t="str">
        <f>IF($A210="","",INDEX('Raw Data'!$N$2:$N$251,MATCH($A210,'Raw Data'!$T$2:$T$251,0)))</f>
        <v/>
      </c>
    </row>
    <row r="211" spans="1:9" x14ac:dyDescent="0.25">
      <c r="A211" s="23" t="str">
        <f>IF(202&lt;=$C$7,202,"")</f>
        <v/>
      </c>
      <c r="B211" s="24" t="str">
        <f>IF($A211="","",INDEX('Raw Data'!$A$2:$A$251,MATCH($A211,'Raw Data'!$T$2:$T$251,0)))</f>
        <v/>
      </c>
      <c r="C211" s="46" t="str">
        <f>IF($A211="","",INDEX('Raw Data'!$B$2:$B$251,MATCH($A211,'Raw Data'!$T$2:$T$251,0)))</f>
        <v/>
      </c>
      <c r="D211" s="24" t="str">
        <f>IF($A211="","",INDEX('Raw Data'!$D$2:$D$251,MATCH($A211,'Raw Data'!$T$2:$T$251,0)))</f>
        <v/>
      </c>
      <c r="E211" s="24" t="str">
        <f>IF($A211="","",INDEX('Raw Data'!$F$2:$F$251,MATCH($A211,'Raw Data'!$T$2:$T$251,0)))</f>
        <v/>
      </c>
      <c r="F211" s="24" t="str">
        <f>IF($A211="","",INDEX('Raw Data'!$G$2:$G$251,MATCH($A211,'Raw Data'!$T$2:$T$251,0)))</f>
        <v/>
      </c>
      <c r="G211" s="24" t="str">
        <f>IF($A211="","",INDEX('Raw Data'!$K$2:$K$251,MATCH($A211,'Raw Data'!$T$2:$T$251,0)))</f>
        <v/>
      </c>
      <c r="H211" s="26" t="str">
        <f>IF($A211="","",INDEX('Raw Data'!$H$2:$H$251,MATCH($A211,'Raw Data'!$T$2:$T$251,0)))</f>
        <v/>
      </c>
      <c r="I211" s="38" t="str">
        <f>IF($A211="","",INDEX('Raw Data'!$N$2:$N$251,MATCH($A211,'Raw Data'!$T$2:$T$251,0)))</f>
        <v/>
      </c>
    </row>
    <row r="212" spans="1:9" x14ac:dyDescent="0.25">
      <c r="A212" s="23" t="str">
        <f>IF(203&lt;=$C$7,203,"")</f>
        <v/>
      </c>
      <c r="B212" s="24" t="str">
        <f>IF($A212="","",INDEX('Raw Data'!$A$2:$A$251,MATCH($A212,'Raw Data'!$T$2:$T$251,0)))</f>
        <v/>
      </c>
      <c r="C212" s="46" t="str">
        <f>IF($A212="","",INDEX('Raw Data'!$B$2:$B$251,MATCH($A212,'Raw Data'!$T$2:$T$251,0)))</f>
        <v/>
      </c>
      <c r="D212" s="24" t="str">
        <f>IF($A212="","",INDEX('Raw Data'!$D$2:$D$251,MATCH($A212,'Raw Data'!$T$2:$T$251,0)))</f>
        <v/>
      </c>
      <c r="E212" s="24" t="str">
        <f>IF($A212="","",INDEX('Raw Data'!$F$2:$F$251,MATCH($A212,'Raw Data'!$T$2:$T$251,0)))</f>
        <v/>
      </c>
      <c r="F212" s="24" t="str">
        <f>IF($A212="","",INDEX('Raw Data'!$G$2:$G$251,MATCH($A212,'Raw Data'!$T$2:$T$251,0)))</f>
        <v/>
      </c>
      <c r="G212" s="24" t="str">
        <f>IF($A212="","",INDEX('Raw Data'!$K$2:$K$251,MATCH($A212,'Raw Data'!$T$2:$T$251,0)))</f>
        <v/>
      </c>
      <c r="H212" s="26" t="str">
        <f>IF($A212="","",INDEX('Raw Data'!$H$2:$H$251,MATCH($A212,'Raw Data'!$T$2:$T$251,0)))</f>
        <v/>
      </c>
      <c r="I212" s="38" t="str">
        <f>IF($A212="","",INDEX('Raw Data'!$N$2:$N$251,MATCH($A212,'Raw Data'!$T$2:$T$251,0)))</f>
        <v/>
      </c>
    </row>
    <row r="213" spans="1:9" x14ac:dyDescent="0.25">
      <c r="A213" s="23" t="str">
        <f>IF(204&lt;=$C$7,204,"")</f>
        <v/>
      </c>
      <c r="B213" s="24" t="str">
        <f>IF($A213="","",INDEX('Raw Data'!$A$2:$A$251,MATCH($A213,'Raw Data'!$T$2:$T$251,0)))</f>
        <v/>
      </c>
      <c r="C213" s="46" t="str">
        <f>IF($A213="","",INDEX('Raw Data'!$B$2:$B$251,MATCH($A213,'Raw Data'!$T$2:$T$251,0)))</f>
        <v/>
      </c>
      <c r="D213" s="24" t="str">
        <f>IF($A213="","",INDEX('Raw Data'!$D$2:$D$251,MATCH($A213,'Raw Data'!$T$2:$T$251,0)))</f>
        <v/>
      </c>
      <c r="E213" s="24" t="str">
        <f>IF($A213="","",INDEX('Raw Data'!$F$2:$F$251,MATCH($A213,'Raw Data'!$T$2:$T$251,0)))</f>
        <v/>
      </c>
      <c r="F213" s="24" t="str">
        <f>IF($A213="","",INDEX('Raw Data'!$G$2:$G$251,MATCH($A213,'Raw Data'!$T$2:$T$251,0)))</f>
        <v/>
      </c>
      <c r="G213" s="24" t="str">
        <f>IF($A213="","",INDEX('Raw Data'!$K$2:$K$251,MATCH($A213,'Raw Data'!$T$2:$T$251,0)))</f>
        <v/>
      </c>
      <c r="H213" s="26" t="str">
        <f>IF($A213="","",INDEX('Raw Data'!$H$2:$H$251,MATCH($A213,'Raw Data'!$T$2:$T$251,0)))</f>
        <v/>
      </c>
      <c r="I213" s="38" t="str">
        <f>IF($A213="","",INDEX('Raw Data'!$N$2:$N$251,MATCH($A213,'Raw Data'!$T$2:$T$251,0)))</f>
        <v/>
      </c>
    </row>
    <row r="214" spans="1:9" x14ac:dyDescent="0.25">
      <c r="A214" s="23" t="str">
        <f>IF(205&lt;=$C$7,205,"")</f>
        <v/>
      </c>
      <c r="B214" s="24" t="str">
        <f>IF($A214="","",INDEX('Raw Data'!$A$2:$A$251,MATCH($A214,'Raw Data'!$T$2:$T$251,0)))</f>
        <v/>
      </c>
      <c r="C214" s="46" t="str">
        <f>IF($A214="","",INDEX('Raw Data'!$B$2:$B$251,MATCH($A214,'Raw Data'!$T$2:$T$251,0)))</f>
        <v/>
      </c>
      <c r="D214" s="24" t="str">
        <f>IF($A214="","",INDEX('Raw Data'!$D$2:$D$251,MATCH($A214,'Raw Data'!$T$2:$T$251,0)))</f>
        <v/>
      </c>
      <c r="E214" s="24" t="str">
        <f>IF($A214="","",INDEX('Raw Data'!$F$2:$F$251,MATCH($A214,'Raw Data'!$T$2:$T$251,0)))</f>
        <v/>
      </c>
      <c r="F214" s="24" t="str">
        <f>IF($A214="","",INDEX('Raw Data'!$G$2:$G$251,MATCH($A214,'Raw Data'!$T$2:$T$251,0)))</f>
        <v/>
      </c>
      <c r="G214" s="24" t="str">
        <f>IF($A214="","",INDEX('Raw Data'!$K$2:$K$251,MATCH($A214,'Raw Data'!$T$2:$T$251,0)))</f>
        <v/>
      </c>
      <c r="H214" s="26" t="str">
        <f>IF($A214="","",INDEX('Raw Data'!$H$2:$H$251,MATCH($A214,'Raw Data'!$T$2:$T$251,0)))</f>
        <v/>
      </c>
      <c r="I214" s="38" t="str">
        <f>IF($A214="","",INDEX('Raw Data'!$N$2:$N$251,MATCH($A214,'Raw Data'!$T$2:$T$251,0)))</f>
        <v/>
      </c>
    </row>
    <row r="215" spans="1:9" x14ac:dyDescent="0.25">
      <c r="A215" s="23" t="str">
        <f>IF(206&lt;=$C$7,206,"")</f>
        <v/>
      </c>
      <c r="B215" s="24" t="str">
        <f>IF($A215="","",INDEX('Raw Data'!$A$2:$A$251,MATCH($A215,'Raw Data'!$T$2:$T$251,0)))</f>
        <v/>
      </c>
      <c r="C215" s="46" t="str">
        <f>IF($A215="","",INDEX('Raw Data'!$B$2:$B$251,MATCH($A215,'Raw Data'!$T$2:$T$251,0)))</f>
        <v/>
      </c>
      <c r="D215" s="24" t="str">
        <f>IF($A215="","",INDEX('Raw Data'!$D$2:$D$251,MATCH($A215,'Raw Data'!$T$2:$T$251,0)))</f>
        <v/>
      </c>
      <c r="E215" s="24" t="str">
        <f>IF($A215="","",INDEX('Raw Data'!$F$2:$F$251,MATCH($A215,'Raw Data'!$T$2:$T$251,0)))</f>
        <v/>
      </c>
      <c r="F215" s="24" t="str">
        <f>IF($A215="","",INDEX('Raw Data'!$G$2:$G$251,MATCH($A215,'Raw Data'!$T$2:$T$251,0)))</f>
        <v/>
      </c>
      <c r="G215" s="24" t="str">
        <f>IF($A215="","",INDEX('Raw Data'!$K$2:$K$251,MATCH($A215,'Raw Data'!$T$2:$T$251,0)))</f>
        <v/>
      </c>
      <c r="H215" s="26" t="str">
        <f>IF($A215="","",INDEX('Raw Data'!$H$2:$H$251,MATCH($A215,'Raw Data'!$T$2:$T$251,0)))</f>
        <v/>
      </c>
      <c r="I215" s="38" t="str">
        <f>IF($A215="","",INDEX('Raw Data'!$N$2:$N$251,MATCH($A215,'Raw Data'!$T$2:$T$251,0)))</f>
        <v/>
      </c>
    </row>
    <row r="216" spans="1:9" x14ac:dyDescent="0.25">
      <c r="A216" s="23" t="str">
        <f>IF(207&lt;=$C$7,207,"")</f>
        <v/>
      </c>
      <c r="B216" s="24" t="str">
        <f>IF($A216="","",INDEX('Raw Data'!$A$2:$A$251,MATCH($A216,'Raw Data'!$T$2:$T$251,0)))</f>
        <v/>
      </c>
      <c r="C216" s="46" t="str">
        <f>IF($A216="","",INDEX('Raw Data'!$B$2:$B$251,MATCH($A216,'Raw Data'!$T$2:$T$251,0)))</f>
        <v/>
      </c>
      <c r="D216" s="24" t="str">
        <f>IF($A216="","",INDEX('Raw Data'!$D$2:$D$251,MATCH($A216,'Raw Data'!$T$2:$T$251,0)))</f>
        <v/>
      </c>
      <c r="E216" s="24" t="str">
        <f>IF($A216="","",INDEX('Raw Data'!$F$2:$F$251,MATCH($A216,'Raw Data'!$T$2:$T$251,0)))</f>
        <v/>
      </c>
      <c r="F216" s="24" t="str">
        <f>IF($A216="","",INDEX('Raw Data'!$G$2:$G$251,MATCH($A216,'Raw Data'!$T$2:$T$251,0)))</f>
        <v/>
      </c>
      <c r="G216" s="24" t="str">
        <f>IF($A216="","",INDEX('Raw Data'!$K$2:$K$251,MATCH($A216,'Raw Data'!$T$2:$T$251,0)))</f>
        <v/>
      </c>
      <c r="H216" s="26" t="str">
        <f>IF($A216="","",INDEX('Raw Data'!$H$2:$H$251,MATCH($A216,'Raw Data'!$T$2:$T$251,0)))</f>
        <v/>
      </c>
      <c r="I216" s="38" t="str">
        <f>IF($A216="","",INDEX('Raw Data'!$N$2:$N$251,MATCH($A216,'Raw Data'!$T$2:$T$251,0)))</f>
        <v/>
      </c>
    </row>
    <row r="217" spans="1:9" x14ac:dyDescent="0.25">
      <c r="A217" s="23" t="str">
        <f>IF(208&lt;=$C$7,208,"")</f>
        <v/>
      </c>
      <c r="B217" s="24" t="str">
        <f>IF($A217="","",INDEX('Raw Data'!$A$2:$A$251,MATCH($A217,'Raw Data'!$T$2:$T$251,0)))</f>
        <v/>
      </c>
      <c r="C217" s="46" t="str">
        <f>IF($A217="","",INDEX('Raw Data'!$B$2:$B$251,MATCH($A217,'Raw Data'!$T$2:$T$251,0)))</f>
        <v/>
      </c>
      <c r="D217" s="24" t="str">
        <f>IF($A217="","",INDEX('Raw Data'!$D$2:$D$251,MATCH($A217,'Raw Data'!$T$2:$T$251,0)))</f>
        <v/>
      </c>
      <c r="E217" s="24" t="str">
        <f>IF($A217="","",INDEX('Raw Data'!$F$2:$F$251,MATCH($A217,'Raw Data'!$T$2:$T$251,0)))</f>
        <v/>
      </c>
      <c r="F217" s="24" t="str">
        <f>IF($A217="","",INDEX('Raw Data'!$G$2:$G$251,MATCH($A217,'Raw Data'!$T$2:$T$251,0)))</f>
        <v/>
      </c>
      <c r="G217" s="24" t="str">
        <f>IF($A217="","",INDEX('Raw Data'!$K$2:$K$251,MATCH($A217,'Raw Data'!$T$2:$T$251,0)))</f>
        <v/>
      </c>
      <c r="H217" s="26" t="str">
        <f>IF($A217="","",INDEX('Raw Data'!$H$2:$H$251,MATCH($A217,'Raw Data'!$T$2:$T$251,0)))</f>
        <v/>
      </c>
      <c r="I217" s="38" t="str">
        <f>IF($A217="","",INDEX('Raw Data'!$N$2:$N$251,MATCH($A217,'Raw Data'!$T$2:$T$251,0)))</f>
        <v/>
      </c>
    </row>
    <row r="218" spans="1:9" x14ac:dyDescent="0.25">
      <c r="A218" s="23" t="str">
        <f>IF(209&lt;=$C$7,209,"")</f>
        <v/>
      </c>
      <c r="B218" s="24" t="str">
        <f>IF($A218="","",INDEX('Raw Data'!$A$2:$A$251,MATCH($A218,'Raw Data'!$T$2:$T$251,0)))</f>
        <v/>
      </c>
      <c r="C218" s="46" t="str">
        <f>IF($A218="","",INDEX('Raw Data'!$B$2:$B$251,MATCH($A218,'Raw Data'!$T$2:$T$251,0)))</f>
        <v/>
      </c>
      <c r="D218" s="24" t="str">
        <f>IF($A218="","",INDEX('Raw Data'!$D$2:$D$251,MATCH($A218,'Raw Data'!$T$2:$T$251,0)))</f>
        <v/>
      </c>
      <c r="E218" s="24" t="str">
        <f>IF($A218="","",INDEX('Raw Data'!$F$2:$F$251,MATCH($A218,'Raw Data'!$T$2:$T$251,0)))</f>
        <v/>
      </c>
      <c r="F218" s="24" t="str">
        <f>IF($A218="","",INDEX('Raw Data'!$G$2:$G$251,MATCH($A218,'Raw Data'!$T$2:$T$251,0)))</f>
        <v/>
      </c>
      <c r="G218" s="24" t="str">
        <f>IF($A218="","",INDEX('Raw Data'!$K$2:$K$251,MATCH($A218,'Raw Data'!$T$2:$T$251,0)))</f>
        <v/>
      </c>
      <c r="H218" s="26" t="str">
        <f>IF($A218="","",INDEX('Raw Data'!$H$2:$H$251,MATCH($A218,'Raw Data'!$T$2:$T$251,0)))</f>
        <v/>
      </c>
      <c r="I218" s="38" t="str">
        <f>IF($A218="","",INDEX('Raw Data'!$N$2:$N$251,MATCH($A218,'Raw Data'!$T$2:$T$251,0)))</f>
        <v/>
      </c>
    </row>
    <row r="219" spans="1:9" x14ac:dyDescent="0.25">
      <c r="A219" s="23" t="str">
        <f>IF(210&lt;=$C$7,210,"")</f>
        <v/>
      </c>
      <c r="B219" s="24" t="str">
        <f>IF($A219="","",INDEX('Raw Data'!$A$2:$A$251,MATCH($A219,'Raw Data'!$T$2:$T$251,0)))</f>
        <v/>
      </c>
      <c r="C219" s="46" t="str">
        <f>IF($A219="","",INDEX('Raw Data'!$B$2:$B$251,MATCH($A219,'Raw Data'!$T$2:$T$251,0)))</f>
        <v/>
      </c>
      <c r="D219" s="24" t="str">
        <f>IF($A219="","",INDEX('Raw Data'!$D$2:$D$251,MATCH($A219,'Raw Data'!$T$2:$T$251,0)))</f>
        <v/>
      </c>
      <c r="E219" s="24" t="str">
        <f>IF($A219="","",INDEX('Raw Data'!$F$2:$F$251,MATCH($A219,'Raw Data'!$T$2:$T$251,0)))</f>
        <v/>
      </c>
      <c r="F219" s="24" t="str">
        <f>IF($A219="","",INDEX('Raw Data'!$G$2:$G$251,MATCH($A219,'Raw Data'!$T$2:$T$251,0)))</f>
        <v/>
      </c>
      <c r="G219" s="24" t="str">
        <f>IF($A219="","",INDEX('Raw Data'!$K$2:$K$251,MATCH($A219,'Raw Data'!$T$2:$T$251,0)))</f>
        <v/>
      </c>
      <c r="H219" s="26" t="str">
        <f>IF($A219="","",INDEX('Raw Data'!$H$2:$H$251,MATCH($A219,'Raw Data'!$T$2:$T$251,0)))</f>
        <v/>
      </c>
      <c r="I219" s="38" t="str">
        <f>IF($A219="","",INDEX('Raw Data'!$N$2:$N$251,MATCH($A219,'Raw Data'!$T$2:$T$251,0)))</f>
        <v/>
      </c>
    </row>
    <row r="220" spans="1:9" x14ac:dyDescent="0.25">
      <c r="A220" s="23" t="str">
        <f>IF(211&lt;=$C$7,211,"")</f>
        <v/>
      </c>
      <c r="B220" s="24" t="str">
        <f>IF($A220="","",INDEX('Raw Data'!$A$2:$A$251,MATCH($A220,'Raw Data'!$T$2:$T$251,0)))</f>
        <v/>
      </c>
      <c r="C220" s="46" t="str">
        <f>IF($A220="","",INDEX('Raw Data'!$B$2:$B$251,MATCH($A220,'Raw Data'!$T$2:$T$251,0)))</f>
        <v/>
      </c>
      <c r="D220" s="24" t="str">
        <f>IF($A220="","",INDEX('Raw Data'!$D$2:$D$251,MATCH($A220,'Raw Data'!$T$2:$T$251,0)))</f>
        <v/>
      </c>
      <c r="E220" s="24" t="str">
        <f>IF($A220="","",INDEX('Raw Data'!$F$2:$F$251,MATCH($A220,'Raw Data'!$T$2:$T$251,0)))</f>
        <v/>
      </c>
      <c r="F220" s="24" t="str">
        <f>IF($A220="","",INDEX('Raw Data'!$G$2:$G$251,MATCH($A220,'Raw Data'!$T$2:$T$251,0)))</f>
        <v/>
      </c>
      <c r="G220" s="24" t="str">
        <f>IF($A220="","",INDEX('Raw Data'!$K$2:$K$251,MATCH($A220,'Raw Data'!$T$2:$T$251,0)))</f>
        <v/>
      </c>
      <c r="H220" s="26" t="str">
        <f>IF($A220="","",INDEX('Raw Data'!$H$2:$H$251,MATCH($A220,'Raw Data'!$T$2:$T$251,0)))</f>
        <v/>
      </c>
      <c r="I220" s="38" t="str">
        <f>IF($A220="","",INDEX('Raw Data'!$N$2:$N$251,MATCH($A220,'Raw Data'!$T$2:$T$251,0)))</f>
        <v/>
      </c>
    </row>
    <row r="221" spans="1:9" x14ac:dyDescent="0.25">
      <c r="A221" s="23" t="str">
        <f>IF(212&lt;=$C$7,212,"")</f>
        <v/>
      </c>
      <c r="B221" s="24" t="str">
        <f>IF($A221="","",INDEX('Raw Data'!$A$2:$A$251,MATCH($A221,'Raw Data'!$T$2:$T$251,0)))</f>
        <v/>
      </c>
      <c r="C221" s="46" t="str">
        <f>IF($A221="","",INDEX('Raw Data'!$B$2:$B$251,MATCH($A221,'Raw Data'!$T$2:$T$251,0)))</f>
        <v/>
      </c>
      <c r="D221" s="24" t="str">
        <f>IF($A221="","",INDEX('Raw Data'!$D$2:$D$251,MATCH($A221,'Raw Data'!$T$2:$T$251,0)))</f>
        <v/>
      </c>
      <c r="E221" s="24" t="str">
        <f>IF($A221="","",INDEX('Raw Data'!$F$2:$F$251,MATCH($A221,'Raw Data'!$T$2:$T$251,0)))</f>
        <v/>
      </c>
      <c r="F221" s="24" t="str">
        <f>IF($A221="","",INDEX('Raw Data'!$G$2:$G$251,MATCH($A221,'Raw Data'!$T$2:$T$251,0)))</f>
        <v/>
      </c>
      <c r="G221" s="24" t="str">
        <f>IF($A221="","",INDEX('Raw Data'!$K$2:$K$251,MATCH($A221,'Raw Data'!$T$2:$T$251,0)))</f>
        <v/>
      </c>
      <c r="H221" s="26" t="str">
        <f>IF($A221="","",INDEX('Raw Data'!$H$2:$H$251,MATCH($A221,'Raw Data'!$T$2:$T$251,0)))</f>
        <v/>
      </c>
      <c r="I221" s="38" t="str">
        <f>IF($A221="","",INDEX('Raw Data'!$N$2:$N$251,MATCH($A221,'Raw Data'!$T$2:$T$251,0)))</f>
        <v/>
      </c>
    </row>
    <row r="222" spans="1:9" x14ac:dyDescent="0.25">
      <c r="A222" s="23" t="str">
        <f>IF(213&lt;=$C$7,213,"")</f>
        <v/>
      </c>
      <c r="B222" s="24" t="str">
        <f>IF($A222="","",INDEX('Raw Data'!$A$2:$A$251,MATCH($A222,'Raw Data'!$T$2:$T$251,0)))</f>
        <v/>
      </c>
      <c r="C222" s="46" t="str">
        <f>IF($A222="","",INDEX('Raw Data'!$B$2:$B$251,MATCH($A222,'Raw Data'!$T$2:$T$251,0)))</f>
        <v/>
      </c>
      <c r="D222" s="24" t="str">
        <f>IF($A222="","",INDEX('Raw Data'!$D$2:$D$251,MATCH($A222,'Raw Data'!$T$2:$T$251,0)))</f>
        <v/>
      </c>
      <c r="E222" s="24" t="str">
        <f>IF($A222="","",INDEX('Raw Data'!$F$2:$F$251,MATCH($A222,'Raw Data'!$T$2:$T$251,0)))</f>
        <v/>
      </c>
      <c r="F222" s="24" t="str">
        <f>IF($A222="","",INDEX('Raw Data'!$G$2:$G$251,MATCH($A222,'Raw Data'!$T$2:$T$251,0)))</f>
        <v/>
      </c>
      <c r="G222" s="24" t="str">
        <f>IF($A222="","",INDEX('Raw Data'!$K$2:$K$251,MATCH($A222,'Raw Data'!$T$2:$T$251,0)))</f>
        <v/>
      </c>
      <c r="H222" s="26" t="str">
        <f>IF($A222="","",INDEX('Raw Data'!$H$2:$H$251,MATCH($A222,'Raw Data'!$T$2:$T$251,0)))</f>
        <v/>
      </c>
      <c r="I222" s="38" t="str">
        <f>IF($A222="","",INDEX('Raw Data'!$N$2:$N$251,MATCH($A222,'Raw Data'!$T$2:$T$251,0)))</f>
        <v/>
      </c>
    </row>
    <row r="223" spans="1:9" x14ac:dyDescent="0.25">
      <c r="A223" s="23" t="str">
        <f>IF(214&lt;=$C$7,214,"")</f>
        <v/>
      </c>
      <c r="B223" s="24" t="str">
        <f>IF($A223="","",INDEX('Raw Data'!$A$2:$A$251,MATCH($A223,'Raw Data'!$T$2:$T$251,0)))</f>
        <v/>
      </c>
      <c r="C223" s="46" t="str">
        <f>IF($A223="","",INDEX('Raw Data'!$B$2:$B$251,MATCH($A223,'Raw Data'!$T$2:$T$251,0)))</f>
        <v/>
      </c>
      <c r="D223" s="24" t="str">
        <f>IF($A223="","",INDEX('Raw Data'!$D$2:$D$251,MATCH($A223,'Raw Data'!$T$2:$T$251,0)))</f>
        <v/>
      </c>
      <c r="E223" s="24" t="str">
        <f>IF($A223="","",INDEX('Raw Data'!$F$2:$F$251,MATCH($A223,'Raw Data'!$T$2:$T$251,0)))</f>
        <v/>
      </c>
      <c r="F223" s="24" t="str">
        <f>IF($A223="","",INDEX('Raw Data'!$G$2:$G$251,MATCH($A223,'Raw Data'!$T$2:$T$251,0)))</f>
        <v/>
      </c>
      <c r="G223" s="24" t="str">
        <f>IF($A223="","",INDEX('Raw Data'!$K$2:$K$251,MATCH($A223,'Raw Data'!$T$2:$T$251,0)))</f>
        <v/>
      </c>
      <c r="H223" s="26" t="str">
        <f>IF($A223="","",INDEX('Raw Data'!$H$2:$H$251,MATCH($A223,'Raw Data'!$T$2:$T$251,0)))</f>
        <v/>
      </c>
      <c r="I223" s="38" t="str">
        <f>IF($A223="","",INDEX('Raw Data'!$N$2:$N$251,MATCH($A223,'Raw Data'!$T$2:$T$251,0)))</f>
        <v/>
      </c>
    </row>
    <row r="224" spans="1:9" x14ac:dyDescent="0.25">
      <c r="A224" s="23" t="str">
        <f>IF(215&lt;=$C$7,215,"")</f>
        <v/>
      </c>
      <c r="B224" s="24" t="str">
        <f>IF($A224="","",INDEX('Raw Data'!$A$2:$A$251,MATCH($A224,'Raw Data'!$T$2:$T$251,0)))</f>
        <v/>
      </c>
      <c r="C224" s="46" t="str">
        <f>IF($A224="","",INDEX('Raw Data'!$B$2:$B$251,MATCH($A224,'Raw Data'!$T$2:$T$251,0)))</f>
        <v/>
      </c>
      <c r="D224" s="24" t="str">
        <f>IF($A224="","",INDEX('Raw Data'!$D$2:$D$251,MATCH($A224,'Raw Data'!$T$2:$T$251,0)))</f>
        <v/>
      </c>
      <c r="E224" s="24" t="str">
        <f>IF($A224="","",INDEX('Raw Data'!$F$2:$F$251,MATCH($A224,'Raw Data'!$T$2:$T$251,0)))</f>
        <v/>
      </c>
      <c r="F224" s="24" t="str">
        <f>IF($A224="","",INDEX('Raw Data'!$G$2:$G$251,MATCH($A224,'Raw Data'!$T$2:$T$251,0)))</f>
        <v/>
      </c>
      <c r="G224" s="24" t="str">
        <f>IF($A224="","",INDEX('Raw Data'!$K$2:$K$251,MATCH($A224,'Raw Data'!$T$2:$T$251,0)))</f>
        <v/>
      </c>
      <c r="H224" s="26" t="str">
        <f>IF($A224="","",INDEX('Raw Data'!$H$2:$H$251,MATCH($A224,'Raw Data'!$T$2:$T$251,0)))</f>
        <v/>
      </c>
      <c r="I224" s="38" t="str">
        <f>IF($A224="","",INDEX('Raw Data'!$N$2:$N$251,MATCH($A224,'Raw Data'!$T$2:$T$251,0)))</f>
        <v/>
      </c>
    </row>
    <row r="225" spans="1:9" x14ac:dyDescent="0.25">
      <c r="A225" s="23" t="str">
        <f>IF(216&lt;=$C$7,216,"")</f>
        <v/>
      </c>
      <c r="B225" s="24" t="str">
        <f>IF($A225="","",INDEX('Raw Data'!$A$2:$A$251,MATCH($A225,'Raw Data'!$T$2:$T$251,0)))</f>
        <v/>
      </c>
      <c r="C225" s="46" t="str">
        <f>IF($A225="","",INDEX('Raw Data'!$B$2:$B$251,MATCH($A225,'Raw Data'!$T$2:$T$251,0)))</f>
        <v/>
      </c>
      <c r="D225" s="24" t="str">
        <f>IF($A225="","",INDEX('Raw Data'!$D$2:$D$251,MATCH($A225,'Raw Data'!$T$2:$T$251,0)))</f>
        <v/>
      </c>
      <c r="E225" s="24" t="str">
        <f>IF($A225="","",INDEX('Raw Data'!$F$2:$F$251,MATCH($A225,'Raw Data'!$T$2:$T$251,0)))</f>
        <v/>
      </c>
      <c r="F225" s="24" t="str">
        <f>IF($A225="","",INDEX('Raw Data'!$G$2:$G$251,MATCH($A225,'Raw Data'!$T$2:$T$251,0)))</f>
        <v/>
      </c>
      <c r="G225" s="24" t="str">
        <f>IF($A225="","",INDEX('Raw Data'!$K$2:$K$251,MATCH($A225,'Raw Data'!$T$2:$T$251,0)))</f>
        <v/>
      </c>
      <c r="H225" s="26" t="str">
        <f>IF($A225="","",INDEX('Raw Data'!$H$2:$H$251,MATCH($A225,'Raw Data'!$T$2:$T$251,0)))</f>
        <v/>
      </c>
      <c r="I225" s="38" t="str">
        <f>IF($A225="","",INDEX('Raw Data'!$N$2:$N$251,MATCH($A225,'Raw Data'!$T$2:$T$251,0)))</f>
        <v/>
      </c>
    </row>
    <row r="226" spans="1:9" x14ac:dyDescent="0.25">
      <c r="A226" s="23" t="str">
        <f>IF(217&lt;=$C$7,217,"")</f>
        <v/>
      </c>
      <c r="B226" s="24" t="str">
        <f>IF($A226="","",INDEX('Raw Data'!$A$2:$A$251,MATCH($A226,'Raw Data'!$T$2:$T$251,0)))</f>
        <v/>
      </c>
      <c r="C226" s="46" t="str">
        <f>IF($A226="","",INDEX('Raw Data'!$B$2:$B$251,MATCH($A226,'Raw Data'!$T$2:$T$251,0)))</f>
        <v/>
      </c>
      <c r="D226" s="24" t="str">
        <f>IF($A226="","",INDEX('Raw Data'!$D$2:$D$251,MATCH($A226,'Raw Data'!$T$2:$T$251,0)))</f>
        <v/>
      </c>
      <c r="E226" s="24" t="str">
        <f>IF($A226="","",INDEX('Raw Data'!$F$2:$F$251,MATCH($A226,'Raw Data'!$T$2:$T$251,0)))</f>
        <v/>
      </c>
      <c r="F226" s="24" t="str">
        <f>IF($A226="","",INDEX('Raw Data'!$G$2:$G$251,MATCH($A226,'Raw Data'!$T$2:$T$251,0)))</f>
        <v/>
      </c>
      <c r="G226" s="24" t="str">
        <f>IF($A226="","",INDEX('Raw Data'!$K$2:$K$251,MATCH($A226,'Raw Data'!$T$2:$T$251,0)))</f>
        <v/>
      </c>
      <c r="H226" s="26" t="str">
        <f>IF($A226="","",INDEX('Raw Data'!$H$2:$H$251,MATCH($A226,'Raw Data'!$T$2:$T$251,0)))</f>
        <v/>
      </c>
      <c r="I226" s="38" t="str">
        <f>IF($A226="","",INDEX('Raw Data'!$N$2:$N$251,MATCH($A226,'Raw Data'!$T$2:$T$251,0)))</f>
        <v/>
      </c>
    </row>
    <row r="227" spans="1:9" x14ac:dyDescent="0.25">
      <c r="A227" s="23" t="str">
        <f>IF(218&lt;=$C$7,218,"")</f>
        <v/>
      </c>
      <c r="B227" s="24" t="str">
        <f>IF($A227="","",INDEX('Raw Data'!$A$2:$A$251,MATCH($A227,'Raw Data'!$T$2:$T$251,0)))</f>
        <v/>
      </c>
      <c r="C227" s="46" t="str">
        <f>IF($A227="","",INDEX('Raw Data'!$B$2:$B$251,MATCH($A227,'Raw Data'!$T$2:$T$251,0)))</f>
        <v/>
      </c>
      <c r="D227" s="24" t="str">
        <f>IF($A227="","",INDEX('Raw Data'!$D$2:$D$251,MATCH($A227,'Raw Data'!$T$2:$T$251,0)))</f>
        <v/>
      </c>
      <c r="E227" s="24" t="str">
        <f>IF($A227="","",INDEX('Raw Data'!$F$2:$F$251,MATCH($A227,'Raw Data'!$T$2:$T$251,0)))</f>
        <v/>
      </c>
      <c r="F227" s="24" t="str">
        <f>IF($A227="","",INDEX('Raw Data'!$G$2:$G$251,MATCH($A227,'Raw Data'!$T$2:$T$251,0)))</f>
        <v/>
      </c>
      <c r="G227" s="24" t="str">
        <f>IF($A227="","",INDEX('Raw Data'!$K$2:$K$251,MATCH($A227,'Raw Data'!$T$2:$T$251,0)))</f>
        <v/>
      </c>
      <c r="H227" s="26" t="str">
        <f>IF($A227="","",INDEX('Raw Data'!$H$2:$H$251,MATCH($A227,'Raw Data'!$T$2:$T$251,0)))</f>
        <v/>
      </c>
      <c r="I227" s="38" t="str">
        <f>IF($A227="","",INDEX('Raw Data'!$N$2:$N$251,MATCH($A227,'Raw Data'!$T$2:$T$251,0)))</f>
        <v/>
      </c>
    </row>
    <row r="228" spans="1:9" x14ac:dyDescent="0.25">
      <c r="A228" s="23" t="str">
        <f>IF(219&lt;=$C$7,219,"")</f>
        <v/>
      </c>
      <c r="B228" s="24" t="str">
        <f>IF($A228="","",INDEX('Raw Data'!$A$2:$A$251,MATCH($A228,'Raw Data'!$T$2:$T$251,0)))</f>
        <v/>
      </c>
      <c r="C228" s="46" t="str">
        <f>IF($A228="","",INDEX('Raw Data'!$B$2:$B$251,MATCH($A228,'Raw Data'!$T$2:$T$251,0)))</f>
        <v/>
      </c>
      <c r="D228" s="24" t="str">
        <f>IF($A228="","",INDEX('Raw Data'!$D$2:$D$251,MATCH($A228,'Raw Data'!$T$2:$T$251,0)))</f>
        <v/>
      </c>
      <c r="E228" s="24" t="str">
        <f>IF($A228="","",INDEX('Raw Data'!$F$2:$F$251,MATCH($A228,'Raw Data'!$T$2:$T$251,0)))</f>
        <v/>
      </c>
      <c r="F228" s="24" t="str">
        <f>IF($A228="","",INDEX('Raw Data'!$G$2:$G$251,MATCH($A228,'Raw Data'!$T$2:$T$251,0)))</f>
        <v/>
      </c>
      <c r="G228" s="24" t="str">
        <f>IF($A228="","",INDEX('Raw Data'!$K$2:$K$251,MATCH($A228,'Raw Data'!$T$2:$T$251,0)))</f>
        <v/>
      </c>
      <c r="H228" s="26" t="str">
        <f>IF($A228="","",INDEX('Raw Data'!$H$2:$H$251,MATCH($A228,'Raw Data'!$T$2:$T$251,0)))</f>
        <v/>
      </c>
      <c r="I228" s="38" t="str">
        <f>IF($A228="","",INDEX('Raw Data'!$N$2:$N$251,MATCH($A228,'Raw Data'!$T$2:$T$251,0)))</f>
        <v/>
      </c>
    </row>
    <row r="229" spans="1:9" x14ac:dyDescent="0.25">
      <c r="A229" s="23" t="str">
        <f>IF(220&lt;=$C$7,220,"")</f>
        <v/>
      </c>
      <c r="B229" s="24" t="str">
        <f>IF($A229="","",INDEX('Raw Data'!$A$2:$A$251,MATCH($A229,'Raw Data'!$T$2:$T$251,0)))</f>
        <v/>
      </c>
      <c r="C229" s="46" t="str">
        <f>IF($A229="","",INDEX('Raw Data'!$B$2:$B$251,MATCH($A229,'Raw Data'!$T$2:$T$251,0)))</f>
        <v/>
      </c>
      <c r="D229" s="24" t="str">
        <f>IF($A229="","",INDEX('Raw Data'!$D$2:$D$251,MATCH($A229,'Raw Data'!$T$2:$T$251,0)))</f>
        <v/>
      </c>
      <c r="E229" s="24" t="str">
        <f>IF($A229="","",INDEX('Raw Data'!$F$2:$F$251,MATCH($A229,'Raw Data'!$T$2:$T$251,0)))</f>
        <v/>
      </c>
      <c r="F229" s="24" t="str">
        <f>IF($A229="","",INDEX('Raw Data'!$G$2:$G$251,MATCH($A229,'Raw Data'!$T$2:$T$251,0)))</f>
        <v/>
      </c>
      <c r="G229" s="24" t="str">
        <f>IF($A229="","",INDEX('Raw Data'!$K$2:$K$251,MATCH($A229,'Raw Data'!$T$2:$T$251,0)))</f>
        <v/>
      </c>
      <c r="H229" s="26" t="str">
        <f>IF($A229="","",INDEX('Raw Data'!$H$2:$H$251,MATCH($A229,'Raw Data'!$T$2:$T$251,0)))</f>
        <v/>
      </c>
      <c r="I229" s="38" t="str">
        <f>IF($A229="","",INDEX('Raw Data'!$N$2:$N$251,MATCH($A229,'Raw Data'!$T$2:$T$251,0)))</f>
        <v/>
      </c>
    </row>
    <row r="230" spans="1:9" x14ac:dyDescent="0.25">
      <c r="A230" s="23" t="str">
        <f>IF(221&lt;=$C$7,221,"")</f>
        <v/>
      </c>
      <c r="B230" s="24" t="str">
        <f>IF($A230="","",INDEX('Raw Data'!$A$2:$A$251,MATCH($A230,'Raw Data'!$T$2:$T$251,0)))</f>
        <v/>
      </c>
      <c r="C230" s="46" t="str">
        <f>IF($A230="","",INDEX('Raw Data'!$B$2:$B$251,MATCH($A230,'Raw Data'!$T$2:$T$251,0)))</f>
        <v/>
      </c>
      <c r="D230" s="24" t="str">
        <f>IF($A230="","",INDEX('Raw Data'!$D$2:$D$251,MATCH($A230,'Raw Data'!$T$2:$T$251,0)))</f>
        <v/>
      </c>
      <c r="E230" s="24" t="str">
        <f>IF($A230="","",INDEX('Raw Data'!$F$2:$F$251,MATCH($A230,'Raw Data'!$T$2:$T$251,0)))</f>
        <v/>
      </c>
      <c r="F230" s="24" t="str">
        <f>IF($A230="","",INDEX('Raw Data'!$G$2:$G$251,MATCH($A230,'Raw Data'!$T$2:$T$251,0)))</f>
        <v/>
      </c>
      <c r="G230" s="24" t="str">
        <f>IF($A230="","",INDEX('Raw Data'!$K$2:$K$251,MATCH($A230,'Raw Data'!$T$2:$T$251,0)))</f>
        <v/>
      </c>
      <c r="H230" s="26" t="str">
        <f>IF($A230="","",INDEX('Raw Data'!$H$2:$H$251,MATCH($A230,'Raw Data'!$T$2:$T$251,0)))</f>
        <v/>
      </c>
      <c r="I230" s="38" t="str">
        <f>IF($A230="","",INDEX('Raw Data'!$N$2:$N$251,MATCH($A230,'Raw Data'!$T$2:$T$251,0)))</f>
        <v/>
      </c>
    </row>
    <row r="231" spans="1:9" x14ac:dyDescent="0.25">
      <c r="A231" s="23" t="str">
        <f>IF(222&lt;=$C$7,222,"")</f>
        <v/>
      </c>
      <c r="B231" s="24" t="str">
        <f>IF($A231="","",INDEX('Raw Data'!$A$2:$A$251,MATCH($A231,'Raw Data'!$T$2:$T$251,0)))</f>
        <v/>
      </c>
      <c r="C231" s="46" t="str">
        <f>IF($A231="","",INDEX('Raw Data'!$B$2:$B$251,MATCH($A231,'Raw Data'!$T$2:$T$251,0)))</f>
        <v/>
      </c>
      <c r="D231" s="24" t="str">
        <f>IF($A231="","",INDEX('Raw Data'!$D$2:$D$251,MATCH($A231,'Raw Data'!$T$2:$T$251,0)))</f>
        <v/>
      </c>
      <c r="E231" s="24" t="str">
        <f>IF($A231="","",INDEX('Raw Data'!$F$2:$F$251,MATCH($A231,'Raw Data'!$T$2:$T$251,0)))</f>
        <v/>
      </c>
      <c r="F231" s="24" t="str">
        <f>IF($A231="","",INDEX('Raw Data'!$G$2:$G$251,MATCH($A231,'Raw Data'!$T$2:$T$251,0)))</f>
        <v/>
      </c>
      <c r="G231" s="24" t="str">
        <f>IF($A231="","",INDEX('Raw Data'!$K$2:$K$251,MATCH($A231,'Raw Data'!$T$2:$T$251,0)))</f>
        <v/>
      </c>
      <c r="H231" s="26" t="str">
        <f>IF($A231="","",INDEX('Raw Data'!$H$2:$H$251,MATCH($A231,'Raw Data'!$T$2:$T$251,0)))</f>
        <v/>
      </c>
      <c r="I231" s="38" t="str">
        <f>IF($A231="","",INDEX('Raw Data'!$N$2:$N$251,MATCH($A231,'Raw Data'!$T$2:$T$251,0)))</f>
        <v/>
      </c>
    </row>
    <row r="232" spans="1:9" x14ac:dyDescent="0.25">
      <c r="A232" s="23" t="str">
        <f>IF(223&lt;=$C$7,223,"")</f>
        <v/>
      </c>
      <c r="B232" s="24" t="str">
        <f>IF($A232="","",INDEX('Raw Data'!$A$2:$A$251,MATCH($A232,'Raw Data'!$T$2:$T$251,0)))</f>
        <v/>
      </c>
      <c r="C232" s="46" t="str">
        <f>IF($A232="","",INDEX('Raw Data'!$B$2:$B$251,MATCH($A232,'Raw Data'!$T$2:$T$251,0)))</f>
        <v/>
      </c>
      <c r="D232" s="24" t="str">
        <f>IF($A232="","",INDEX('Raw Data'!$D$2:$D$251,MATCH($A232,'Raw Data'!$T$2:$T$251,0)))</f>
        <v/>
      </c>
      <c r="E232" s="24" t="str">
        <f>IF($A232="","",INDEX('Raw Data'!$F$2:$F$251,MATCH($A232,'Raw Data'!$T$2:$T$251,0)))</f>
        <v/>
      </c>
      <c r="F232" s="24" t="str">
        <f>IF($A232="","",INDEX('Raw Data'!$G$2:$G$251,MATCH($A232,'Raw Data'!$T$2:$T$251,0)))</f>
        <v/>
      </c>
      <c r="G232" s="24" t="str">
        <f>IF($A232="","",INDEX('Raw Data'!$K$2:$K$251,MATCH($A232,'Raw Data'!$T$2:$T$251,0)))</f>
        <v/>
      </c>
      <c r="H232" s="26" t="str">
        <f>IF($A232="","",INDEX('Raw Data'!$H$2:$H$251,MATCH($A232,'Raw Data'!$T$2:$T$251,0)))</f>
        <v/>
      </c>
      <c r="I232" s="38" t="str">
        <f>IF($A232="","",INDEX('Raw Data'!$N$2:$N$251,MATCH($A232,'Raw Data'!$T$2:$T$251,0)))</f>
        <v/>
      </c>
    </row>
    <row r="233" spans="1:9" x14ac:dyDescent="0.25">
      <c r="A233" s="23" t="str">
        <f>IF(224&lt;=$C$7,224,"")</f>
        <v/>
      </c>
      <c r="B233" s="24" t="str">
        <f>IF($A233="","",INDEX('Raw Data'!$A$2:$A$251,MATCH($A233,'Raw Data'!$T$2:$T$251,0)))</f>
        <v/>
      </c>
      <c r="C233" s="46" t="str">
        <f>IF($A233="","",INDEX('Raw Data'!$B$2:$B$251,MATCH($A233,'Raw Data'!$T$2:$T$251,0)))</f>
        <v/>
      </c>
      <c r="D233" s="24" t="str">
        <f>IF($A233="","",INDEX('Raw Data'!$D$2:$D$251,MATCH($A233,'Raw Data'!$T$2:$T$251,0)))</f>
        <v/>
      </c>
      <c r="E233" s="24" t="str">
        <f>IF($A233="","",INDEX('Raw Data'!$F$2:$F$251,MATCH($A233,'Raw Data'!$T$2:$T$251,0)))</f>
        <v/>
      </c>
      <c r="F233" s="24" t="str">
        <f>IF($A233="","",INDEX('Raw Data'!$G$2:$G$251,MATCH($A233,'Raw Data'!$T$2:$T$251,0)))</f>
        <v/>
      </c>
      <c r="G233" s="24" t="str">
        <f>IF($A233="","",INDEX('Raw Data'!$K$2:$K$251,MATCH($A233,'Raw Data'!$T$2:$T$251,0)))</f>
        <v/>
      </c>
      <c r="H233" s="26" t="str">
        <f>IF($A233="","",INDEX('Raw Data'!$H$2:$H$251,MATCH($A233,'Raw Data'!$T$2:$T$251,0)))</f>
        <v/>
      </c>
      <c r="I233" s="38" t="str">
        <f>IF($A233="","",INDEX('Raw Data'!$N$2:$N$251,MATCH($A233,'Raw Data'!$T$2:$T$251,0)))</f>
        <v/>
      </c>
    </row>
    <row r="234" spans="1:9" x14ac:dyDescent="0.25">
      <c r="A234" s="23" t="str">
        <f>IF(225&lt;=$C$7,225,"")</f>
        <v/>
      </c>
      <c r="B234" s="24" t="str">
        <f>IF($A234="","",INDEX('Raw Data'!$A$2:$A$251,MATCH($A234,'Raw Data'!$T$2:$T$251,0)))</f>
        <v/>
      </c>
      <c r="C234" s="46" t="str">
        <f>IF($A234="","",INDEX('Raw Data'!$B$2:$B$251,MATCH($A234,'Raw Data'!$T$2:$T$251,0)))</f>
        <v/>
      </c>
      <c r="D234" s="24" t="str">
        <f>IF($A234="","",INDEX('Raw Data'!$D$2:$D$251,MATCH($A234,'Raw Data'!$T$2:$T$251,0)))</f>
        <v/>
      </c>
      <c r="E234" s="24" t="str">
        <f>IF($A234="","",INDEX('Raw Data'!$F$2:$F$251,MATCH($A234,'Raw Data'!$T$2:$T$251,0)))</f>
        <v/>
      </c>
      <c r="F234" s="24" t="str">
        <f>IF($A234="","",INDEX('Raw Data'!$G$2:$G$251,MATCH($A234,'Raw Data'!$T$2:$T$251,0)))</f>
        <v/>
      </c>
      <c r="G234" s="24" t="str">
        <f>IF($A234="","",INDEX('Raw Data'!$K$2:$K$251,MATCH($A234,'Raw Data'!$T$2:$T$251,0)))</f>
        <v/>
      </c>
      <c r="H234" s="26" t="str">
        <f>IF($A234="","",INDEX('Raw Data'!$H$2:$H$251,MATCH($A234,'Raw Data'!$T$2:$T$251,0)))</f>
        <v/>
      </c>
      <c r="I234" s="38" t="str">
        <f>IF($A234="","",INDEX('Raw Data'!$N$2:$N$251,MATCH($A234,'Raw Data'!$T$2:$T$251,0)))</f>
        <v/>
      </c>
    </row>
    <row r="235" spans="1:9" x14ac:dyDescent="0.25">
      <c r="A235" s="23" t="str">
        <f>IF(226&lt;=$C$7,226,"")</f>
        <v/>
      </c>
      <c r="B235" s="24" t="str">
        <f>IF($A235="","",INDEX('Raw Data'!$A$2:$A$251,MATCH($A235,'Raw Data'!$T$2:$T$251,0)))</f>
        <v/>
      </c>
      <c r="C235" s="46" t="str">
        <f>IF($A235="","",INDEX('Raw Data'!$B$2:$B$251,MATCH($A235,'Raw Data'!$T$2:$T$251,0)))</f>
        <v/>
      </c>
      <c r="D235" s="24" t="str">
        <f>IF($A235="","",INDEX('Raw Data'!$D$2:$D$251,MATCH($A235,'Raw Data'!$T$2:$T$251,0)))</f>
        <v/>
      </c>
      <c r="E235" s="24" t="str">
        <f>IF($A235="","",INDEX('Raw Data'!$F$2:$F$251,MATCH($A235,'Raw Data'!$T$2:$T$251,0)))</f>
        <v/>
      </c>
      <c r="F235" s="24" t="str">
        <f>IF($A235="","",INDEX('Raw Data'!$G$2:$G$251,MATCH($A235,'Raw Data'!$T$2:$T$251,0)))</f>
        <v/>
      </c>
      <c r="G235" s="24" t="str">
        <f>IF($A235="","",INDEX('Raw Data'!$K$2:$K$251,MATCH($A235,'Raw Data'!$T$2:$T$251,0)))</f>
        <v/>
      </c>
      <c r="H235" s="26" t="str">
        <f>IF($A235="","",INDEX('Raw Data'!$H$2:$H$251,MATCH($A235,'Raw Data'!$T$2:$T$251,0)))</f>
        <v/>
      </c>
      <c r="I235" s="38" t="str">
        <f>IF($A235="","",INDEX('Raw Data'!$N$2:$N$251,MATCH($A235,'Raw Data'!$T$2:$T$251,0)))</f>
        <v/>
      </c>
    </row>
    <row r="236" spans="1:9" x14ac:dyDescent="0.25">
      <c r="A236" s="23" t="str">
        <f>IF(227&lt;=$C$7,227,"")</f>
        <v/>
      </c>
      <c r="B236" s="24" t="str">
        <f>IF($A236="","",INDEX('Raw Data'!$A$2:$A$251,MATCH($A236,'Raw Data'!$T$2:$T$251,0)))</f>
        <v/>
      </c>
      <c r="C236" s="46" t="str">
        <f>IF($A236="","",INDEX('Raw Data'!$B$2:$B$251,MATCH($A236,'Raw Data'!$T$2:$T$251,0)))</f>
        <v/>
      </c>
      <c r="D236" s="24" t="str">
        <f>IF($A236="","",INDEX('Raw Data'!$D$2:$D$251,MATCH($A236,'Raw Data'!$T$2:$T$251,0)))</f>
        <v/>
      </c>
      <c r="E236" s="24" t="str">
        <f>IF($A236="","",INDEX('Raw Data'!$F$2:$F$251,MATCH($A236,'Raw Data'!$T$2:$T$251,0)))</f>
        <v/>
      </c>
      <c r="F236" s="24" t="str">
        <f>IF($A236="","",INDEX('Raw Data'!$G$2:$G$251,MATCH($A236,'Raw Data'!$T$2:$T$251,0)))</f>
        <v/>
      </c>
      <c r="G236" s="24" t="str">
        <f>IF($A236="","",INDEX('Raw Data'!$K$2:$K$251,MATCH($A236,'Raw Data'!$T$2:$T$251,0)))</f>
        <v/>
      </c>
      <c r="H236" s="26" t="str">
        <f>IF($A236="","",INDEX('Raw Data'!$H$2:$H$251,MATCH($A236,'Raw Data'!$T$2:$T$251,0)))</f>
        <v/>
      </c>
      <c r="I236" s="38" t="str">
        <f>IF($A236="","",INDEX('Raw Data'!$N$2:$N$251,MATCH($A236,'Raw Data'!$T$2:$T$251,0)))</f>
        <v/>
      </c>
    </row>
    <row r="237" spans="1:9" x14ac:dyDescent="0.25">
      <c r="A237" s="23" t="str">
        <f>IF(228&lt;=$C$7,228,"")</f>
        <v/>
      </c>
      <c r="B237" s="24" t="str">
        <f>IF($A237="","",INDEX('Raw Data'!$A$2:$A$251,MATCH($A237,'Raw Data'!$T$2:$T$251,0)))</f>
        <v/>
      </c>
      <c r="C237" s="46" t="str">
        <f>IF($A237="","",INDEX('Raw Data'!$B$2:$B$251,MATCH($A237,'Raw Data'!$T$2:$T$251,0)))</f>
        <v/>
      </c>
      <c r="D237" s="24" t="str">
        <f>IF($A237="","",INDEX('Raw Data'!$D$2:$D$251,MATCH($A237,'Raw Data'!$T$2:$T$251,0)))</f>
        <v/>
      </c>
      <c r="E237" s="24" t="str">
        <f>IF($A237="","",INDEX('Raw Data'!$F$2:$F$251,MATCH($A237,'Raw Data'!$T$2:$T$251,0)))</f>
        <v/>
      </c>
      <c r="F237" s="24" t="str">
        <f>IF($A237="","",INDEX('Raw Data'!$G$2:$G$251,MATCH($A237,'Raw Data'!$T$2:$T$251,0)))</f>
        <v/>
      </c>
      <c r="G237" s="24" t="str">
        <f>IF($A237="","",INDEX('Raw Data'!$K$2:$K$251,MATCH($A237,'Raw Data'!$T$2:$T$251,0)))</f>
        <v/>
      </c>
      <c r="H237" s="26" t="str">
        <f>IF($A237="","",INDEX('Raw Data'!$H$2:$H$251,MATCH($A237,'Raw Data'!$T$2:$T$251,0)))</f>
        <v/>
      </c>
      <c r="I237" s="38" t="str">
        <f>IF($A237="","",INDEX('Raw Data'!$N$2:$N$251,MATCH($A237,'Raw Data'!$T$2:$T$251,0)))</f>
        <v/>
      </c>
    </row>
    <row r="238" spans="1:9" x14ac:dyDescent="0.25">
      <c r="A238" s="23" t="str">
        <f>IF(229&lt;=$C$7,229,"")</f>
        <v/>
      </c>
      <c r="B238" s="24" t="str">
        <f>IF($A238="","",INDEX('Raw Data'!$A$2:$A$251,MATCH($A238,'Raw Data'!$T$2:$T$251,0)))</f>
        <v/>
      </c>
      <c r="C238" s="46" t="str">
        <f>IF($A238="","",INDEX('Raw Data'!$B$2:$B$251,MATCH($A238,'Raw Data'!$T$2:$T$251,0)))</f>
        <v/>
      </c>
      <c r="D238" s="24" t="str">
        <f>IF($A238="","",INDEX('Raw Data'!$D$2:$D$251,MATCH($A238,'Raw Data'!$T$2:$T$251,0)))</f>
        <v/>
      </c>
      <c r="E238" s="24" t="str">
        <f>IF($A238="","",INDEX('Raw Data'!$F$2:$F$251,MATCH($A238,'Raw Data'!$T$2:$T$251,0)))</f>
        <v/>
      </c>
      <c r="F238" s="24" t="str">
        <f>IF($A238="","",INDEX('Raw Data'!$G$2:$G$251,MATCH($A238,'Raw Data'!$T$2:$T$251,0)))</f>
        <v/>
      </c>
      <c r="G238" s="24" t="str">
        <f>IF($A238="","",INDEX('Raw Data'!$K$2:$K$251,MATCH($A238,'Raw Data'!$T$2:$T$251,0)))</f>
        <v/>
      </c>
      <c r="H238" s="26" t="str">
        <f>IF($A238="","",INDEX('Raw Data'!$H$2:$H$251,MATCH($A238,'Raw Data'!$T$2:$T$251,0)))</f>
        <v/>
      </c>
      <c r="I238" s="38" t="str">
        <f>IF($A238="","",INDEX('Raw Data'!$N$2:$N$251,MATCH($A238,'Raw Data'!$T$2:$T$251,0)))</f>
        <v/>
      </c>
    </row>
    <row r="239" spans="1:9" x14ac:dyDescent="0.25">
      <c r="A239" s="23" t="str">
        <f>IF(230&lt;=$C$7,230,"")</f>
        <v/>
      </c>
      <c r="B239" s="24" t="str">
        <f>IF($A239="","",INDEX('Raw Data'!$A$2:$A$251,MATCH($A239,'Raw Data'!$T$2:$T$251,0)))</f>
        <v/>
      </c>
      <c r="C239" s="46" t="str">
        <f>IF($A239="","",INDEX('Raw Data'!$B$2:$B$251,MATCH($A239,'Raw Data'!$T$2:$T$251,0)))</f>
        <v/>
      </c>
      <c r="D239" s="24" t="str">
        <f>IF($A239="","",INDEX('Raw Data'!$D$2:$D$251,MATCH($A239,'Raw Data'!$T$2:$T$251,0)))</f>
        <v/>
      </c>
      <c r="E239" s="24" t="str">
        <f>IF($A239="","",INDEX('Raw Data'!$F$2:$F$251,MATCH($A239,'Raw Data'!$T$2:$T$251,0)))</f>
        <v/>
      </c>
      <c r="F239" s="24" t="str">
        <f>IF($A239="","",INDEX('Raw Data'!$G$2:$G$251,MATCH($A239,'Raw Data'!$T$2:$T$251,0)))</f>
        <v/>
      </c>
      <c r="G239" s="24" t="str">
        <f>IF($A239="","",INDEX('Raw Data'!$K$2:$K$251,MATCH($A239,'Raw Data'!$T$2:$T$251,0)))</f>
        <v/>
      </c>
      <c r="H239" s="26" t="str">
        <f>IF($A239="","",INDEX('Raw Data'!$H$2:$H$251,MATCH($A239,'Raw Data'!$T$2:$T$251,0)))</f>
        <v/>
      </c>
      <c r="I239" s="38" t="str">
        <f>IF($A239="","",INDEX('Raw Data'!$N$2:$N$251,MATCH($A239,'Raw Data'!$T$2:$T$251,0)))</f>
        <v/>
      </c>
    </row>
    <row r="240" spans="1:9" x14ac:dyDescent="0.25">
      <c r="A240" s="23" t="str">
        <f>IF(231&lt;=$C$7,231,"")</f>
        <v/>
      </c>
      <c r="B240" s="24" t="str">
        <f>IF($A240="","",INDEX('Raw Data'!$A$2:$A$251,MATCH($A240,'Raw Data'!$T$2:$T$251,0)))</f>
        <v/>
      </c>
      <c r="C240" s="46" t="str">
        <f>IF($A240="","",INDEX('Raw Data'!$B$2:$B$251,MATCH($A240,'Raw Data'!$T$2:$T$251,0)))</f>
        <v/>
      </c>
      <c r="D240" s="24" t="str">
        <f>IF($A240="","",INDEX('Raw Data'!$D$2:$D$251,MATCH($A240,'Raw Data'!$T$2:$T$251,0)))</f>
        <v/>
      </c>
      <c r="E240" s="24" t="str">
        <f>IF($A240="","",INDEX('Raw Data'!$F$2:$F$251,MATCH($A240,'Raw Data'!$T$2:$T$251,0)))</f>
        <v/>
      </c>
      <c r="F240" s="24" t="str">
        <f>IF($A240="","",INDEX('Raw Data'!$G$2:$G$251,MATCH($A240,'Raw Data'!$T$2:$T$251,0)))</f>
        <v/>
      </c>
      <c r="G240" s="24" t="str">
        <f>IF($A240="","",INDEX('Raw Data'!$K$2:$K$251,MATCH($A240,'Raw Data'!$T$2:$T$251,0)))</f>
        <v/>
      </c>
      <c r="H240" s="26" t="str">
        <f>IF($A240="","",INDEX('Raw Data'!$H$2:$H$251,MATCH($A240,'Raw Data'!$T$2:$T$251,0)))</f>
        <v/>
      </c>
      <c r="I240" s="38" t="str">
        <f>IF($A240="","",INDEX('Raw Data'!$N$2:$N$251,MATCH($A240,'Raw Data'!$T$2:$T$251,0)))</f>
        <v/>
      </c>
    </row>
    <row r="241" spans="1:9" x14ac:dyDescent="0.25">
      <c r="A241" s="23" t="str">
        <f>IF(232&lt;=$C$7,232,"")</f>
        <v/>
      </c>
      <c r="B241" s="24" t="str">
        <f>IF($A241="","",INDEX('Raw Data'!$A$2:$A$251,MATCH($A241,'Raw Data'!$T$2:$T$251,0)))</f>
        <v/>
      </c>
      <c r="C241" s="46" t="str">
        <f>IF($A241="","",INDEX('Raw Data'!$B$2:$B$251,MATCH($A241,'Raw Data'!$T$2:$T$251,0)))</f>
        <v/>
      </c>
      <c r="D241" s="24" t="str">
        <f>IF($A241="","",INDEX('Raw Data'!$D$2:$D$251,MATCH($A241,'Raw Data'!$T$2:$T$251,0)))</f>
        <v/>
      </c>
      <c r="E241" s="24" t="str">
        <f>IF($A241="","",INDEX('Raw Data'!$F$2:$F$251,MATCH($A241,'Raw Data'!$T$2:$T$251,0)))</f>
        <v/>
      </c>
      <c r="F241" s="24" t="str">
        <f>IF($A241="","",INDEX('Raw Data'!$G$2:$G$251,MATCH($A241,'Raw Data'!$T$2:$T$251,0)))</f>
        <v/>
      </c>
      <c r="G241" s="24" t="str">
        <f>IF($A241="","",INDEX('Raw Data'!$K$2:$K$251,MATCH($A241,'Raw Data'!$T$2:$T$251,0)))</f>
        <v/>
      </c>
      <c r="H241" s="26" t="str">
        <f>IF($A241="","",INDEX('Raw Data'!$H$2:$H$251,MATCH($A241,'Raw Data'!$T$2:$T$251,0)))</f>
        <v/>
      </c>
      <c r="I241" s="38" t="str">
        <f>IF($A241="","",INDEX('Raw Data'!$N$2:$N$251,MATCH($A241,'Raw Data'!$T$2:$T$251,0)))</f>
        <v/>
      </c>
    </row>
    <row r="242" spans="1:9" x14ac:dyDescent="0.25">
      <c r="A242" s="23" t="str">
        <f>IF(233&lt;=$C$7,233,"")</f>
        <v/>
      </c>
      <c r="B242" s="24" t="str">
        <f>IF($A242="","",INDEX('Raw Data'!$A$2:$A$251,MATCH($A242,'Raw Data'!$T$2:$T$251,0)))</f>
        <v/>
      </c>
      <c r="C242" s="46" t="str">
        <f>IF($A242="","",INDEX('Raw Data'!$B$2:$B$251,MATCH($A242,'Raw Data'!$T$2:$T$251,0)))</f>
        <v/>
      </c>
      <c r="D242" s="24" t="str">
        <f>IF($A242="","",INDEX('Raw Data'!$D$2:$D$251,MATCH($A242,'Raw Data'!$T$2:$T$251,0)))</f>
        <v/>
      </c>
      <c r="E242" s="24" t="str">
        <f>IF($A242="","",INDEX('Raw Data'!$F$2:$F$251,MATCH($A242,'Raw Data'!$T$2:$T$251,0)))</f>
        <v/>
      </c>
      <c r="F242" s="24" t="str">
        <f>IF($A242="","",INDEX('Raw Data'!$G$2:$G$251,MATCH($A242,'Raw Data'!$T$2:$T$251,0)))</f>
        <v/>
      </c>
      <c r="G242" s="24" t="str">
        <f>IF($A242="","",INDEX('Raw Data'!$K$2:$K$251,MATCH($A242,'Raw Data'!$T$2:$T$251,0)))</f>
        <v/>
      </c>
      <c r="H242" s="26" t="str">
        <f>IF($A242="","",INDEX('Raw Data'!$H$2:$H$251,MATCH($A242,'Raw Data'!$T$2:$T$251,0)))</f>
        <v/>
      </c>
      <c r="I242" s="38" t="str">
        <f>IF($A242="","",INDEX('Raw Data'!$N$2:$N$251,MATCH($A242,'Raw Data'!$T$2:$T$251,0)))</f>
        <v/>
      </c>
    </row>
    <row r="243" spans="1:9" x14ac:dyDescent="0.25">
      <c r="A243" s="23" t="str">
        <f>IF(234&lt;=$C$7,234,"")</f>
        <v/>
      </c>
      <c r="B243" s="24" t="str">
        <f>IF($A243="","",INDEX('Raw Data'!$A$2:$A$251,MATCH($A243,'Raw Data'!$T$2:$T$251,0)))</f>
        <v/>
      </c>
      <c r="C243" s="46" t="str">
        <f>IF($A243="","",INDEX('Raw Data'!$B$2:$B$251,MATCH($A243,'Raw Data'!$T$2:$T$251,0)))</f>
        <v/>
      </c>
      <c r="D243" s="24" t="str">
        <f>IF($A243="","",INDEX('Raw Data'!$D$2:$D$251,MATCH($A243,'Raw Data'!$T$2:$T$251,0)))</f>
        <v/>
      </c>
      <c r="E243" s="24" t="str">
        <f>IF($A243="","",INDEX('Raw Data'!$F$2:$F$251,MATCH($A243,'Raw Data'!$T$2:$T$251,0)))</f>
        <v/>
      </c>
      <c r="F243" s="24" t="str">
        <f>IF($A243="","",INDEX('Raw Data'!$G$2:$G$251,MATCH($A243,'Raw Data'!$T$2:$T$251,0)))</f>
        <v/>
      </c>
      <c r="G243" s="24" t="str">
        <f>IF($A243="","",INDEX('Raw Data'!$K$2:$K$251,MATCH($A243,'Raw Data'!$T$2:$T$251,0)))</f>
        <v/>
      </c>
      <c r="H243" s="26" t="str">
        <f>IF($A243="","",INDEX('Raw Data'!$H$2:$H$251,MATCH($A243,'Raw Data'!$T$2:$T$251,0)))</f>
        <v/>
      </c>
      <c r="I243" s="38" t="str">
        <f>IF($A243="","",INDEX('Raw Data'!$N$2:$N$251,MATCH($A243,'Raw Data'!$T$2:$T$251,0)))</f>
        <v/>
      </c>
    </row>
    <row r="244" spans="1:9" x14ac:dyDescent="0.25">
      <c r="A244" s="23" t="str">
        <f>IF(235&lt;=$C$7,235,"")</f>
        <v/>
      </c>
      <c r="B244" s="24" t="str">
        <f>IF($A244="","",INDEX('Raw Data'!$A$2:$A$251,MATCH($A244,'Raw Data'!$T$2:$T$251,0)))</f>
        <v/>
      </c>
      <c r="C244" s="46" t="str">
        <f>IF($A244="","",INDEX('Raw Data'!$B$2:$B$251,MATCH($A244,'Raw Data'!$T$2:$T$251,0)))</f>
        <v/>
      </c>
      <c r="D244" s="24" t="str">
        <f>IF($A244="","",INDEX('Raw Data'!$D$2:$D$251,MATCH($A244,'Raw Data'!$T$2:$T$251,0)))</f>
        <v/>
      </c>
      <c r="E244" s="24" t="str">
        <f>IF($A244="","",INDEX('Raw Data'!$F$2:$F$251,MATCH($A244,'Raw Data'!$T$2:$T$251,0)))</f>
        <v/>
      </c>
      <c r="F244" s="24" t="str">
        <f>IF($A244="","",INDEX('Raw Data'!$G$2:$G$251,MATCH($A244,'Raw Data'!$T$2:$T$251,0)))</f>
        <v/>
      </c>
      <c r="G244" s="24" t="str">
        <f>IF($A244="","",INDEX('Raw Data'!$K$2:$K$251,MATCH($A244,'Raw Data'!$T$2:$T$251,0)))</f>
        <v/>
      </c>
      <c r="H244" s="26" t="str">
        <f>IF($A244="","",INDEX('Raw Data'!$H$2:$H$251,MATCH($A244,'Raw Data'!$T$2:$T$251,0)))</f>
        <v/>
      </c>
      <c r="I244" s="38" t="str">
        <f>IF($A244="","",INDEX('Raw Data'!$N$2:$N$251,MATCH($A244,'Raw Data'!$T$2:$T$251,0)))</f>
        <v/>
      </c>
    </row>
    <row r="245" spans="1:9" x14ac:dyDescent="0.25">
      <c r="A245" s="23" t="str">
        <f>IF(236&lt;=$C$7,236,"")</f>
        <v/>
      </c>
      <c r="B245" s="24" t="str">
        <f>IF($A245="","",INDEX('Raw Data'!$A$2:$A$251,MATCH($A245,'Raw Data'!$T$2:$T$251,0)))</f>
        <v/>
      </c>
      <c r="C245" s="46" t="str">
        <f>IF($A245="","",INDEX('Raw Data'!$B$2:$B$251,MATCH($A245,'Raw Data'!$T$2:$T$251,0)))</f>
        <v/>
      </c>
      <c r="D245" s="24" t="str">
        <f>IF($A245="","",INDEX('Raw Data'!$D$2:$D$251,MATCH($A245,'Raw Data'!$T$2:$T$251,0)))</f>
        <v/>
      </c>
      <c r="E245" s="24" t="str">
        <f>IF($A245="","",INDEX('Raw Data'!$F$2:$F$251,MATCH($A245,'Raw Data'!$T$2:$T$251,0)))</f>
        <v/>
      </c>
      <c r="F245" s="24" t="str">
        <f>IF($A245="","",INDEX('Raw Data'!$G$2:$G$251,MATCH($A245,'Raw Data'!$T$2:$T$251,0)))</f>
        <v/>
      </c>
      <c r="G245" s="24" t="str">
        <f>IF($A245="","",INDEX('Raw Data'!$K$2:$K$251,MATCH($A245,'Raw Data'!$T$2:$T$251,0)))</f>
        <v/>
      </c>
      <c r="H245" s="26" t="str">
        <f>IF($A245="","",INDEX('Raw Data'!$H$2:$H$251,MATCH($A245,'Raw Data'!$T$2:$T$251,0)))</f>
        <v/>
      </c>
      <c r="I245" s="38" t="str">
        <f>IF($A245="","",INDEX('Raw Data'!$N$2:$N$251,MATCH($A245,'Raw Data'!$T$2:$T$251,0)))</f>
        <v/>
      </c>
    </row>
    <row r="246" spans="1:9" x14ac:dyDescent="0.25">
      <c r="A246" s="23" t="str">
        <f>IF(237&lt;=$C$7,237,"")</f>
        <v/>
      </c>
      <c r="B246" s="24" t="str">
        <f>IF($A246="","",INDEX('Raw Data'!$A$2:$A$251,MATCH($A246,'Raw Data'!$T$2:$T$251,0)))</f>
        <v/>
      </c>
      <c r="C246" s="46" t="str">
        <f>IF($A246="","",INDEX('Raw Data'!$B$2:$B$251,MATCH($A246,'Raw Data'!$T$2:$T$251,0)))</f>
        <v/>
      </c>
      <c r="D246" s="24" t="str">
        <f>IF($A246="","",INDEX('Raw Data'!$D$2:$D$251,MATCH($A246,'Raw Data'!$T$2:$T$251,0)))</f>
        <v/>
      </c>
      <c r="E246" s="24" t="str">
        <f>IF($A246="","",INDEX('Raw Data'!$F$2:$F$251,MATCH($A246,'Raw Data'!$T$2:$T$251,0)))</f>
        <v/>
      </c>
      <c r="F246" s="24" t="str">
        <f>IF($A246="","",INDEX('Raw Data'!$G$2:$G$251,MATCH($A246,'Raw Data'!$T$2:$T$251,0)))</f>
        <v/>
      </c>
      <c r="G246" s="24" t="str">
        <f>IF($A246="","",INDEX('Raw Data'!$K$2:$K$251,MATCH($A246,'Raw Data'!$T$2:$T$251,0)))</f>
        <v/>
      </c>
      <c r="H246" s="26" t="str">
        <f>IF($A246="","",INDEX('Raw Data'!$H$2:$H$251,MATCH($A246,'Raw Data'!$T$2:$T$251,0)))</f>
        <v/>
      </c>
      <c r="I246" s="38" t="str">
        <f>IF($A246="","",INDEX('Raw Data'!$N$2:$N$251,MATCH($A246,'Raw Data'!$T$2:$T$251,0)))</f>
        <v/>
      </c>
    </row>
    <row r="247" spans="1:9" x14ac:dyDescent="0.25">
      <c r="A247" s="23" t="str">
        <f>IF(238&lt;=$C$7,238,"")</f>
        <v/>
      </c>
      <c r="B247" s="24" t="str">
        <f>IF($A247="","",INDEX('Raw Data'!$A$2:$A$251,MATCH($A247,'Raw Data'!$T$2:$T$251,0)))</f>
        <v/>
      </c>
      <c r="C247" s="46" t="str">
        <f>IF($A247="","",INDEX('Raw Data'!$B$2:$B$251,MATCH($A247,'Raw Data'!$T$2:$T$251,0)))</f>
        <v/>
      </c>
      <c r="D247" s="24" t="str">
        <f>IF($A247="","",INDEX('Raw Data'!$D$2:$D$251,MATCH($A247,'Raw Data'!$T$2:$T$251,0)))</f>
        <v/>
      </c>
      <c r="E247" s="24" t="str">
        <f>IF($A247="","",INDEX('Raw Data'!$F$2:$F$251,MATCH($A247,'Raw Data'!$T$2:$T$251,0)))</f>
        <v/>
      </c>
      <c r="F247" s="24" t="str">
        <f>IF($A247="","",INDEX('Raw Data'!$G$2:$G$251,MATCH($A247,'Raw Data'!$T$2:$T$251,0)))</f>
        <v/>
      </c>
      <c r="G247" s="24" t="str">
        <f>IF($A247="","",INDEX('Raw Data'!$K$2:$K$251,MATCH($A247,'Raw Data'!$T$2:$T$251,0)))</f>
        <v/>
      </c>
      <c r="H247" s="26" t="str">
        <f>IF($A247="","",INDEX('Raw Data'!$H$2:$H$251,MATCH($A247,'Raw Data'!$T$2:$T$251,0)))</f>
        <v/>
      </c>
      <c r="I247" s="38" t="str">
        <f>IF($A247="","",INDEX('Raw Data'!$N$2:$N$251,MATCH($A247,'Raw Data'!$T$2:$T$251,0)))</f>
        <v/>
      </c>
    </row>
    <row r="248" spans="1:9" x14ac:dyDescent="0.25">
      <c r="A248" s="23" t="str">
        <f>IF(239&lt;=$C$7,239,"")</f>
        <v/>
      </c>
      <c r="B248" s="24" t="str">
        <f>IF($A248="","",INDEX('Raw Data'!$A$2:$A$251,MATCH($A248,'Raw Data'!$T$2:$T$251,0)))</f>
        <v/>
      </c>
      <c r="C248" s="46" t="str">
        <f>IF($A248="","",INDEX('Raw Data'!$B$2:$B$251,MATCH($A248,'Raw Data'!$T$2:$T$251,0)))</f>
        <v/>
      </c>
      <c r="D248" s="24" t="str">
        <f>IF($A248="","",INDEX('Raw Data'!$D$2:$D$251,MATCH($A248,'Raw Data'!$T$2:$T$251,0)))</f>
        <v/>
      </c>
      <c r="E248" s="24" t="str">
        <f>IF($A248="","",INDEX('Raw Data'!$F$2:$F$251,MATCH($A248,'Raw Data'!$T$2:$T$251,0)))</f>
        <v/>
      </c>
      <c r="F248" s="24" t="str">
        <f>IF($A248="","",INDEX('Raw Data'!$G$2:$G$251,MATCH($A248,'Raw Data'!$T$2:$T$251,0)))</f>
        <v/>
      </c>
      <c r="G248" s="24" t="str">
        <f>IF($A248="","",INDEX('Raw Data'!$K$2:$K$251,MATCH($A248,'Raw Data'!$T$2:$T$251,0)))</f>
        <v/>
      </c>
      <c r="H248" s="26" t="str">
        <f>IF($A248="","",INDEX('Raw Data'!$H$2:$H$251,MATCH($A248,'Raw Data'!$T$2:$T$251,0)))</f>
        <v/>
      </c>
      <c r="I248" s="38" t="str">
        <f>IF($A248="","",INDEX('Raw Data'!$N$2:$N$251,MATCH($A248,'Raw Data'!$T$2:$T$251,0)))</f>
        <v/>
      </c>
    </row>
    <row r="249" spans="1:9" x14ac:dyDescent="0.25">
      <c r="A249" s="23" t="str">
        <f>IF(240&lt;=$C$7,240,"")</f>
        <v/>
      </c>
      <c r="B249" s="24" t="str">
        <f>IF($A249="","",INDEX('Raw Data'!$A$2:$A$251,MATCH($A249,'Raw Data'!$T$2:$T$251,0)))</f>
        <v/>
      </c>
      <c r="C249" s="46" t="str">
        <f>IF($A249="","",INDEX('Raw Data'!$B$2:$B$251,MATCH($A249,'Raw Data'!$T$2:$T$251,0)))</f>
        <v/>
      </c>
      <c r="D249" s="24" t="str">
        <f>IF($A249="","",INDEX('Raw Data'!$D$2:$D$251,MATCH($A249,'Raw Data'!$T$2:$T$251,0)))</f>
        <v/>
      </c>
      <c r="E249" s="24" t="str">
        <f>IF($A249="","",INDEX('Raw Data'!$F$2:$F$251,MATCH($A249,'Raw Data'!$T$2:$T$251,0)))</f>
        <v/>
      </c>
      <c r="F249" s="24" t="str">
        <f>IF($A249="","",INDEX('Raw Data'!$G$2:$G$251,MATCH($A249,'Raw Data'!$T$2:$T$251,0)))</f>
        <v/>
      </c>
      <c r="G249" s="24" t="str">
        <f>IF($A249="","",INDEX('Raw Data'!$K$2:$K$251,MATCH($A249,'Raw Data'!$T$2:$T$251,0)))</f>
        <v/>
      </c>
      <c r="H249" s="26" t="str">
        <f>IF($A249="","",INDEX('Raw Data'!$H$2:$H$251,MATCH($A249,'Raw Data'!$T$2:$T$251,0)))</f>
        <v/>
      </c>
      <c r="I249" s="38" t="str">
        <f>IF($A249="","",INDEX('Raw Data'!$N$2:$N$251,MATCH($A249,'Raw Data'!$T$2:$T$251,0)))</f>
        <v/>
      </c>
    </row>
    <row r="250" spans="1:9" x14ac:dyDescent="0.25">
      <c r="A250" s="23" t="str">
        <f>IF(241&lt;=$C$7,241,"")</f>
        <v/>
      </c>
      <c r="B250" s="24" t="str">
        <f>IF($A250="","",INDEX('Raw Data'!$A$2:$A$251,MATCH($A250,'Raw Data'!$T$2:$T$251,0)))</f>
        <v/>
      </c>
      <c r="C250" s="46" t="str">
        <f>IF($A250="","",INDEX('Raw Data'!$B$2:$B$251,MATCH($A250,'Raw Data'!$T$2:$T$251,0)))</f>
        <v/>
      </c>
      <c r="D250" s="24" t="str">
        <f>IF($A250="","",INDEX('Raw Data'!$D$2:$D$251,MATCH($A250,'Raw Data'!$T$2:$T$251,0)))</f>
        <v/>
      </c>
      <c r="E250" s="24" t="str">
        <f>IF($A250="","",INDEX('Raw Data'!$F$2:$F$251,MATCH($A250,'Raw Data'!$T$2:$T$251,0)))</f>
        <v/>
      </c>
      <c r="F250" s="24" t="str">
        <f>IF($A250="","",INDEX('Raw Data'!$G$2:$G$251,MATCH($A250,'Raw Data'!$T$2:$T$251,0)))</f>
        <v/>
      </c>
      <c r="G250" s="24" t="str">
        <f>IF($A250="","",INDEX('Raw Data'!$K$2:$K$251,MATCH($A250,'Raw Data'!$T$2:$T$251,0)))</f>
        <v/>
      </c>
      <c r="H250" s="26" t="str">
        <f>IF($A250="","",INDEX('Raw Data'!$H$2:$H$251,MATCH($A250,'Raw Data'!$T$2:$T$251,0)))</f>
        <v/>
      </c>
      <c r="I250" s="38" t="str">
        <f>IF($A250="","",INDEX('Raw Data'!$N$2:$N$251,MATCH($A250,'Raw Data'!$T$2:$T$251,0)))</f>
        <v/>
      </c>
    </row>
    <row r="251" spans="1:9" x14ac:dyDescent="0.25">
      <c r="A251" s="23" t="str">
        <f>IF(242&lt;=$C$7,242,"")</f>
        <v/>
      </c>
      <c r="B251" s="24" t="str">
        <f>IF($A251="","",INDEX('Raw Data'!$A$2:$A$251,MATCH($A251,'Raw Data'!$T$2:$T$251,0)))</f>
        <v/>
      </c>
      <c r="C251" s="46" t="str">
        <f>IF($A251="","",INDEX('Raw Data'!$B$2:$B$251,MATCH($A251,'Raw Data'!$T$2:$T$251,0)))</f>
        <v/>
      </c>
      <c r="D251" s="24" t="str">
        <f>IF($A251="","",INDEX('Raw Data'!$D$2:$D$251,MATCH($A251,'Raw Data'!$T$2:$T$251,0)))</f>
        <v/>
      </c>
      <c r="E251" s="24" t="str">
        <f>IF($A251="","",INDEX('Raw Data'!$F$2:$F$251,MATCH($A251,'Raw Data'!$T$2:$T$251,0)))</f>
        <v/>
      </c>
      <c r="F251" s="24" t="str">
        <f>IF($A251="","",INDEX('Raw Data'!$G$2:$G$251,MATCH($A251,'Raw Data'!$T$2:$T$251,0)))</f>
        <v/>
      </c>
      <c r="G251" s="24" t="str">
        <f>IF($A251="","",INDEX('Raw Data'!$K$2:$K$251,MATCH($A251,'Raw Data'!$T$2:$T$251,0)))</f>
        <v/>
      </c>
      <c r="H251" s="26" t="str">
        <f>IF($A251="","",INDEX('Raw Data'!$H$2:$H$251,MATCH($A251,'Raw Data'!$T$2:$T$251,0)))</f>
        <v/>
      </c>
      <c r="I251" s="38" t="str">
        <f>IF($A251="","",INDEX('Raw Data'!$N$2:$N$251,MATCH($A251,'Raw Data'!$T$2:$T$251,0)))</f>
        <v/>
      </c>
    </row>
    <row r="252" spans="1:9" x14ac:dyDescent="0.25">
      <c r="A252" s="23" t="str">
        <f>IF(243&lt;=$C$7,243,"")</f>
        <v/>
      </c>
      <c r="B252" s="24" t="str">
        <f>IF($A252="","",INDEX('Raw Data'!$A$2:$A$251,MATCH($A252,'Raw Data'!$T$2:$T$251,0)))</f>
        <v/>
      </c>
      <c r="C252" s="46" t="str">
        <f>IF($A252="","",INDEX('Raw Data'!$B$2:$B$251,MATCH($A252,'Raw Data'!$T$2:$T$251,0)))</f>
        <v/>
      </c>
      <c r="D252" s="24" t="str">
        <f>IF($A252="","",INDEX('Raw Data'!$D$2:$D$251,MATCH($A252,'Raw Data'!$T$2:$T$251,0)))</f>
        <v/>
      </c>
      <c r="E252" s="24" t="str">
        <f>IF($A252="","",INDEX('Raw Data'!$F$2:$F$251,MATCH($A252,'Raw Data'!$T$2:$T$251,0)))</f>
        <v/>
      </c>
      <c r="F252" s="24" t="str">
        <f>IF($A252="","",INDEX('Raw Data'!$G$2:$G$251,MATCH($A252,'Raw Data'!$T$2:$T$251,0)))</f>
        <v/>
      </c>
      <c r="G252" s="24" t="str">
        <f>IF($A252="","",INDEX('Raw Data'!$K$2:$K$251,MATCH($A252,'Raw Data'!$T$2:$T$251,0)))</f>
        <v/>
      </c>
      <c r="H252" s="26" t="str">
        <f>IF($A252="","",INDEX('Raw Data'!$H$2:$H$251,MATCH($A252,'Raw Data'!$T$2:$T$251,0)))</f>
        <v/>
      </c>
      <c r="I252" s="38" t="str">
        <f>IF($A252="","",INDEX('Raw Data'!$N$2:$N$251,MATCH($A252,'Raw Data'!$T$2:$T$251,0)))</f>
        <v/>
      </c>
    </row>
    <row r="253" spans="1:9" x14ac:dyDescent="0.25">
      <c r="A253" s="23" t="str">
        <f>IF(244&lt;=$C$7,244,"")</f>
        <v/>
      </c>
      <c r="B253" s="24" t="str">
        <f>IF($A253="","",INDEX('Raw Data'!$A$2:$A$251,MATCH($A253,'Raw Data'!$T$2:$T$251,0)))</f>
        <v/>
      </c>
      <c r="C253" s="46" t="str">
        <f>IF($A253="","",INDEX('Raw Data'!$B$2:$B$251,MATCH($A253,'Raw Data'!$T$2:$T$251,0)))</f>
        <v/>
      </c>
      <c r="D253" s="24" t="str">
        <f>IF($A253="","",INDEX('Raw Data'!$D$2:$D$251,MATCH($A253,'Raw Data'!$T$2:$T$251,0)))</f>
        <v/>
      </c>
      <c r="E253" s="24" t="str">
        <f>IF($A253="","",INDEX('Raw Data'!$F$2:$F$251,MATCH($A253,'Raw Data'!$T$2:$T$251,0)))</f>
        <v/>
      </c>
      <c r="F253" s="24" t="str">
        <f>IF($A253="","",INDEX('Raw Data'!$G$2:$G$251,MATCH($A253,'Raw Data'!$T$2:$T$251,0)))</f>
        <v/>
      </c>
      <c r="G253" s="24" t="str">
        <f>IF($A253="","",INDEX('Raw Data'!$K$2:$K$251,MATCH($A253,'Raw Data'!$T$2:$T$251,0)))</f>
        <v/>
      </c>
      <c r="H253" s="26" t="str">
        <f>IF($A253="","",INDEX('Raw Data'!$H$2:$H$251,MATCH($A253,'Raw Data'!$T$2:$T$251,0)))</f>
        <v/>
      </c>
      <c r="I253" s="38" t="str">
        <f>IF($A253="","",INDEX('Raw Data'!$N$2:$N$251,MATCH($A253,'Raw Data'!$T$2:$T$251,0)))</f>
        <v/>
      </c>
    </row>
    <row r="254" spans="1:9" x14ac:dyDescent="0.25">
      <c r="A254" s="23" t="str">
        <f>IF(245&lt;=$C$7,245,"")</f>
        <v/>
      </c>
      <c r="B254" s="24" t="str">
        <f>IF($A254="","",INDEX('Raw Data'!$A$2:$A$251,MATCH($A254,'Raw Data'!$T$2:$T$251,0)))</f>
        <v/>
      </c>
      <c r="C254" s="46" t="str">
        <f>IF($A254="","",INDEX('Raw Data'!$B$2:$B$251,MATCH($A254,'Raw Data'!$T$2:$T$251,0)))</f>
        <v/>
      </c>
      <c r="D254" s="24" t="str">
        <f>IF($A254="","",INDEX('Raw Data'!$D$2:$D$251,MATCH($A254,'Raw Data'!$T$2:$T$251,0)))</f>
        <v/>
      </c>
      <c r="E254" s="24" t="str">
        <f>IF($A254="","",INDEX('Raw Data'!$F$2:$F$251,MATCH($A254,'Raw Data'!$T$2:$T$251,0)))</f>
        <v/>
      </c>
      <c r="F254" s="24" t="str">
        <f>IF($A254="","",INDEX('Raw Data'!$G$2:$G$251,MATCH($A254,'Raw Data'!$T$2:$T$251,0)))</f>
        <v/>
      </c>
      <c r="G254" s="24" t="str">
        <f>IF($A254="","",INDEX('Raw Data'!$K$2:$K$251,MATCH($A254,'Raw Data'!$T$2:$T$251,0)))</f>
        <v/>
      </c>
      <c r="H254" s="26" t="str">
        <f>IF($A254="","",INDEX('Raw Data'!$H$2:$H$251,MATCH($A254,'Raw Data'!$T$2:$T$251,0)))</f>
        <v/>
      </c>
      <c r="I254" s="38" t="str">
        <f>IF($A254="","",INDEX('Raw Data'!$N$2:$N$251,MATCH($A254,'Raw Data'!$T$2:$T$251,0)))</f>
        <v/>
      </c>
    </row>
    <row r="255" spans="1:9" x14ac:dyDescent="0.25">
      <c r="A255" s="23" t="str">
        <f>IF(246&lt;=$C$7,246,"")</f>
        <v/>
      </c>
      <c r="B255" s="24" t="str">
        <f>IF($A255="","",INDEX('Raw Data'!$A$2:$A$251,MATCH($A255,'Raw Data'!$T$2:$T$251,0)))</f>
        <v/>
      </c>
      <c r="C255" s="46" t="str">
        <f>IF($A255="","",INDEX('Raw Data'!$B$2:$B$251,MATCH($A255,'Raw Data'!$T$2:$T$251,0)))</f>
        <v/>
      </c>
      <c r="D255" s="24" t="str">
        <f>IF($A255="","",INDEX('Raw Data'!$D$2:$D$251,MATCH($A255,'Raw Data'!$T$2:$T$251,0)))</f>
        <v/>
      </c>
      <c r="E255" s="24" t="str">
        <f>IF($A255="","",INDEX('Raw Data'!$F$2:$F$251,MATCH($A255,'Raw Data'!$T$2:$T$251,0)))</f>
        <v/>
      </c>
      <c r="F255" s="24" t="str">
        <f>IF($A255="","",INDEX('Raw Data'!$G$2:$G$251,MATCH($A255,'Raw Data'!$T$2:$T$251,0)))</f>
        <v/>
      </c>
      <c r="G255" s="24" t="str">
        <f>IF($A255="","",INDEX('Raw Data'!$K$2:$K$251,MATCH($A255,'Raw Data'!$T$2:$T$251,0)))</f>
        <v/>
      </c>
      <c r="H255" s="26" t="str">
        <f>IF($A255="","",INDEX('Raw Data'!$H$2:$H$251,MATCH($A255,'Raw Data'!$T$2:$T$251,0)))</f>
        <v/>
      </c>
      <c r="I255" s="38" t="str">
        <f>IF($A255="","",INDEX('Raw Data'!$N$2:$N$251,MATCH($A255,'Raw Data'!$T$2:$T$251,0)))</f>
        <v/>
      </c>
    </row>
    <row r="256" spans="1:9" x14ac:dyDescent="0.25">
      <c r="A256" s="23" t="str">
        <f>IF(247&lt;=$C$7,247,"")</f>
        <v/>
      </c>
      <c r="B256" s="24" t="str">
        <f>IF($A256="","",INDEX('Raw Data'!$A$2:$A$251,MATCH($A256,'Raw Data'!$T$2:$T$251,0)))</f>
        <v/>
      </c>
      <c r="C256" s="46" t="str">
        <f>IF($A256="","",INDEX('Raw Data'!$B$2:$B$251,MATCH($A256,'Raw Data'!$T$2:$T$251,0)))</f>
        <v/>
      </c>
      <c r="D256" s="24" t="str">
        <f>IF($A256="","",INDEX('Raw Data'!$D$2:$D$251,MATCH($A256,'Raw Data'!$T$2:$T$251,0)))</f>
        <v/>
      </c>
      <c r="E256" s="24" t="str">
        <f>IF($A256="","",INDEX('Raw Data'!$F$2:$F$251,MATCH($A256,'Raw Data'!$T$2:$T$251,0)))</f>
        <v/>
      </c>
      <c r="F256" s="24" t="str">
        <f>IF($A256="","",INDEX('Raw Data'!$G$2:$G$251,MATCH($A256,'Raw Data'!$T$2:$T$251,0)))</f>
        <v/>
      </c>
      <c r="G256" s="24" t="str">
        <f>IF($A256="","",INDEX('Raw Data'!$K$2:$K$251,MATCH($A256,'Raw Data'!$T$2:$T$251,0)))</f>
        <v/>
      </c>
      <c r="H256" s="26" t="str">
        <f>IF($A256="","",INDEX('Raw Data'!$H$2:$H$251,MATCH($A256,'Raw Data'!$T$2:$T$251,0)))</f>
        <v/>
      </c>
      <c r="I256" s="38" t="str">
        <f>IF($A256="","",INDEX('Raw Data'!$N$2:$N$251,MATCH($A256,'Raw Data'!$T$2:$T$251,0)))</f>
        <v/>
      </c>
    </row>
    <row r="257" spans="1:9" x14ac:dyDescent="0.25">
      <c r="A257" s="23" t="str">
        <f>IF(248&lt;=$C$7,248,"")</f>
        <v/>
      </c>
      <c r="B257" s="24" t="str">
        <f>IF($A257="","",INDEX('Raw Data'!$A$2:$A$251,MATCH($A257,'Raw Data'!$T$2:$T$251,0)))</f>
        <v/>
      </c>
      <c r="C257" s="46" t="str">
        <f>IF($A257="","",INDEX('Raw Data'!$B$2:$B$251,MATCH($A257,'Raw Data'!$T$2:$T$251,0)))</f>
        <v/>
      </c>
      <c r="D257" s="24" t="str">
        <f>IF($A257="","",INDEX('Raw Data'!$D$2:$D$251,MATCH($A257,'Raw Data'!$T$2:$T$251,0)))</f>
        <v/>
      </c>
      <c r="E257" s="24" t="str">
        <f>IF($A257="","",INDEX('Raw Data'!$F$2:$F$251,MATCH($A257,'Raw Data'!$T$2:$T$251,0)))</f>
        <v/>
      </c>
      <c r="F257" s="24" t="str">
        <f>IF($A257="","",INDEX('Raw Data'!$G$2:$G$251,MATCH($A257,'Raw Data'!$T$2:$T$251,0)))</f>
        <v/>
      </c>
      <c r="G257" s="24" t="str">
        <f>IF($A257="","",INDEX('Raw Data'!$K$2:$K$251,MATCH($A257,'Raw Data'!$T$2:$T$251,0)))</f>
        <v/>
      </c>
      <c r="H257" s="26" t="str">
        <f>IF($A257="","",INDEX('Raw Data'!$H$2:$H$251,MATCH($A257,'Raw Data'!$T$2:$T$251,0)))</f>
        <v/>
      </c>
      <c r="I257" s="38" t="str">
        <f>IF($A257="","",INDEX('Raw Data'!$N$2:$N$251,MATCH($A257,'Raw Data'!$T$2:$T$251,0)))</f>
        <v/>
      </c>
    </row>
    <row r="258" spans="1:9" x14ac:dyDescent="0.25">
      <c r="A258" s="23" t="str">
        <f>IF(249&lt;=$C$7,249,"")</f>
        <v/>
      </c>
      <c r="B258" s="24" t="str">
        <f>IF($A258="","",INDEX('Raw Data'!$A$2:$A$251,MATCH($A258,'Raw Data'!$T$2:$T$251,0)))</f>
        <v/>
      </c>
      <c r="C258" s="46" t="str">
        <f>IF($A258="","",INDEX('Raw Data'!$B$2:$B$251,MATCH($A258,'Raw Data'!$T$2:$T$251,0)))</f>
        <v/>
      </c>
      <c r="D258" s="24" t="str">
        <f>IF($A258="","",INDEX('Raw Data'!$D$2:$D$251,MATCH($A258,'Raw Data'!$T$2:$T$251,0)))</f>
        <v/>
      </c>
      <c r="E258" s="24" t="str">
        <f>IF($A258="","",INDEX('Raw Data'!$F$2:$F$251,MATCH($A258,'Raw Data'!$T$2:$T$251,0)))</f>
        <v/>
      </c>
      <c r="F258" s="24" t="str">
        <f>IF($A258="","",INDEX('Raw Data'!$G$2:$G$251,MATCH($A258,'Raw Data'!$T$2:$T$251,0)))</f>
        <v/>
      </c>
      <c r="G258" s="24" t="str">
        <f>IF($A258="","",INDEX('Raw Data'!$K$2:$K$251,MATCH($A258,'Raw Data'!$T$2:$T$251,0)))</f>
        <v/>
      </c>
      <c r="H258" s="26" t="str">
        <f>IF($A258="","",INDEX('Raw Data'!$H$2:$H$251,MATCH($A258,'Raw Data'!$T$2:$T$251,0)))</f>
        <v/>
      </c>
      <c r="I258" s="38" t="str">
        <f>IF($A258="","",INDEX('Raw Data'!$N$2:$N$251,MATCH($A258,'Raw Data'!$T$2:$T$251,0)))</f>
        <v/>
      </c>
    </row>
    <row r="259" spans="1:9" x14ac:dyDescent="0.25">
      <c r="A259" s="23" t="str">
        <f>IF(250&lt;=$C$7,250,"")</f>
        <v/>
      </c>
      <c r="B259" s="24" t="str">
        <f>IF($A259="","",INDEX('Raw Data'!$A$2:$A$251,MATCH($A259,'Raw Data'!$T$2:$T$251,0)))</f>
        <v/>
      </c>
      <c r="C259" s="46" t="str">
        <f>IF($A259="","",INDEX('Raw Data'!$B$2:$B$251,MATCH($A259,'Raw Data'!$T$2:$T$251,0)))</f>
        <v/>
      </c>
      <c r="D259" s="24" t="str">
        <f>IF($A259="","",INDEX('Raw Data'!$D$2:$D$251,MATCH($A259,'Raw Data'!$T$2:$T$251,0)))</f>
        <v/>
      </c>
      <c r="E259" s="24" t="str">
        <f>IF($A259="","",INDEX('Raw Data'!$F$2:$F$251,MATCH($A259,'Raw Data'!$T$2:$T$251,0)))</f>
        <v/>
      </c>
      <c r="F259" s="24" t="str">
        <f>IF($A259="","",INDEX('Raw Data'!$G$2:$G$251,MATCH($A259,'Raw Data'!$T$2:$T$251,0)))</f>
        <v/>
      </c>
      <c r="G259" s="24" t="str">
        <f>IF($A259="","",INDEX('Raw Data'!$K$2:$K$251,MATCH($A259,'Raw Data'!$T$2:$T$251,0)))</f>
        <v/>
      </c>
      <c r="H259" s="26" t="str">
        <f>IF($A259="","",INDEX('Raw Data'!$H$2:$H$251,MATCH($A259,'Raw Data'!$T$2:$T$251,0)))</f>
        <v/>
      </c>
      <c r="I259" s="38" t="str">
        <f>IF($A259="","",INDEX('Raw Data'!$N$2:$N$251,MATCH($A259,'Raw Data'!$T$2:$T$251,0)))</f>
        <v/>
      </c>
    </row>
  </sheetData>
  <dataValidations count="2">
    <dataValidation type="list" sqref="C4" xr:uid="{00000000-0002-0000-0800-000000000000}">
      <formula1>"All,Central,East,North,South,West"</formula1>
      <formula2>0</formula2>
    </dataValidation>
    <dataValidation type="list" sqref="C5" xr:uid="{00000000-0002-0000-0800-000001000000}">
      <formula1>"All,Appliances,Electronics,Furniture"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  <pageSetUpPr fitToPage="1"/>
  </sheetPr>
  <dimension ref="A1:E48"/>
  <sheetViews>
    <sheetView showGridLines="0" zoomScaleNormal="100" workbookViewId="0">
      <selection activeCell="A43" sqref="A43"/>
    </sheetView>
  </sheetViews>
  <sheetFormatPr defaultColWidth="8.6640625" defaultRowHeight="13.2" x14ac:dyDescent="0.25"/>
  <cols>
    <col min="1" max="1" width="50" customWidth="1"/>
    <col min="2" max="5" width="16" customWidth="1"/>
  </cols>
  <sheetData>
    <row r="1" spans="1:5" ht="21" customHeight="1" x14ac:dyDescent="0.4">
      <c r="A1" s="29" t="s">
        <v>292</v>
      </c>
    </row>
    <row r="2" spans="1:5" x14ac:dyDescent="0.25">
      <c r="A2" s="30"/>
    </row>
    <row r="3" spans="1:5" ht="15" customHeight="1" x14ac:dyDescent="0.3">
      <c r="A3" s="21" t="s">
        <v>293</v>
      </c>
    </row>
    <row r="4" spans="1:5" x14ac:dyDescent="0.25">
      <c r="A4" s="32" t="s">
        <v>294</v>
      </c>
      <c r="B4" s="25">
        <f>SUM('Raw Data'!$N$2:$N$251)</f>
        <v>229192.47000000032</v>
      </c>
    </row>
    <row r="5" spans="1:5" x14ac:dyDescent="0.25">
      <c r="A5" s="32" t="s">
        <v>295</v>
      </c>
      <c r="B5" s="26">
        <f>SUM('Raw Data'!$H$2:$H$251)</f>
        <v>753</v>
      </c>
    </row>
    <row r="6" spans="1:5" x14ac:dyDescent="0.25">
      <c r="A6" s="32" t="s">
        <v>296</v>
      </c>
      <c r="B6" s="26">
        <f>COUNTA('Raw Data'!$A$2:$A$251)</f>
        <v>250</v>
      </c>
    </row>
    <row r="7" spans="1:5" x14ac:dyDescent="0.25">
      <c r="A7" s="32" t="s">
        <v>297</v>
      </c>
      <c r="B7" s="38">
        <f>B4/B5</f>
        <v>304.37247011952235</v>
      </c>
    </row>
    <row r="8" spans="1:5" x14ac:dyDescent="0.25">
      <c r="A8" s="32" t="s">
        <v>298</v>
      </c>
      <c r="B8" s="69">
        <v>0.35</v>
      </c>
    </row>
    <row r="9" spans="1:5" x14ac:dyDescent="0.25">
      <c r="A9" s="32" t="s">
        <v>299</v>
      </c>
      <c r="B9" s="25">
        <f>B4*(1-B8)</f>
        <v>148975.10550000021</v>
      </c>
    </row>
    <row r="10" spans="1:5" x14ac:dyDescent="0.25">
      <c r="A10" s="32" t="s">
        <v>300</v>
      </c>
      <c r="B10" s="25">
        <f>B4-B9</f>
        <v>80217.364500000112</v>
      </c>
    </row>
    <row r="12" spans="1:5" ht="15" customHeight="1" x14ac:dyDescent="0.3">
      <c r="A12" s="21" t="s">
        <v>301</v>
      </c>
    </row>
    <row r="13" spans="1:5" ht="30" customHeight="1" x14ac:dyDescent="0.25">
      <c r="A13" s="22" t="s">
        <v>302</v>
      </c>
      <c r="B13" s="22" t="s">
        <v>303</v>
      </c>
      <c r="C13" s="22" t="s">
        <v>304</v>
      </c>
      <c r="D13" s="22" t="s">
        <v>305</v>
      </c>
      <c r="E13" s="22" t="s">
        <v>306</v>
      </c>
    </row>
    <row r="14" spans="1:5" x14ac:dyDescent="0.25">
      <c r="A14" s="32" t="s">
        <v>307</v>
      </c>
      <c r="B14" s="70">
        <v>0</v>
      </c>
      <c r="C14" s="70">
        <v>0.05</v>
      </c>
      <c r="D14" s="70">
        <v>0</v>
      </c>
      <c r="E14" s="71">
        <f>INDEX(B14:D14,MATCH($B$18,$B$13:$D$13,0))</f>
        <v>0.05</v>
      </c>
    </row>
    <row r="15" spans="1:5" x14ac:dyDescent="0.25">
      <c r="A15" s="32" t="s">
        <v>308</v>
      </c>
      <c r="B15" s="70">
        <v>0</v>
      </c>
      <c r="C15" s="70">
        <v>0.1</v>
      </c>
      <c r="D15" s="70">
        <v>-0.1</v>
      </c>
      <c r="E15" s="71">
        <f>INDEX(B15:D15,MATCH($B$18,$B$13:$D$13,0))</f>
        <v>0.1</v>
      </c>
    </row>
    <row r="16" spans="1:5" x14ac:dyDescent="0.25">
      <c r="A16" s="32" t="s">
        <v>309</v>
      </c>
      <c r="B16" s="70">
        <v>0</v>
      </c>
      <c r="C16" s="70">
        <v>0.03</v>
      </c>
      <c r="D16" s="70">
        <v>0.08</v>
      </c>
      <c r="E16" s="71">
        <f>INDEX(B16:D16,MATCH($B$18,$B$13:$D$13,0))</f>
        <v>0.03</v>
      </c>
    </row>
    <row r="18" spans="1:5" x14ac:dyDescent="0.25">
      <c r="A18" s="48" t="s">
        <v>310</v>
      </c>
      <c r="B18" s="72" t="s">
        <v>304</v>
      </c>
    </row>
    <row r="20" spans="1:5" ht="30" customHeight="1" x14ac:dyDescent="0.25">
      <c r="A20" s="22" t="s">
        <v>311</v>
      </c>
      <c r="B20" s="22" t="s">
        <v>303</v>
      </c>
      <c r="C20" s="22" t="s">
        <v>304</v>
      </c>
      <c r="D20" s="22" t="s">
        <v>305</v>
      </c>
      <c r="E20" s="22" t="s">
        <v>306</v>
      </c>
    </row>
    <row r="21" spans="1:5" x14ac:dyDescent="0.25">
      <c r="A21" s="32" t="s">
        <v>27</v>
      </c>
      <c r="B21" s="25">
        <f>$B$4*(1+B14)*(1+B15)*(1-B16)</f>
        <v>229192.47000000032</v>
      </c>
      <c r="C21" s="25">
        <f>$B$4*(1+C14)*(1+C15)*(1-C16)</f>
        <v>256775.78376450037</v>
      </c>
      <c r="D21" s="25">
        <f>$B$4*(1+D14)*(1+D15)*(1-D16)</f>
        <v>189771.36516000028</v>
      </c>
      <c r="E21" s="25">
        <f>$B$4*(1+E14)*(1+E15)*(1-E16)</f>
        <v>256775.78376450037</v>
      </c>
    </row>
    <row r="22" spans="1:5" x14ac:dyDescent="0.25">
      <c r="A22" s="32" t="s">
        <v>85</v>
      </c>
      <c r="B22" s="26">
        <f>$B$5*(1+B15)</f>
        <v>753</v>
      </c>
      <c r="C22" s="26">
        <f>$B$5*(1+C15)</f>
        <v>828.30000000000007</v>
      </c>
      <c r="D22" s="26">
        <f>$B$5*(1+D15)</f>
        <v>677.7</v>
      </c>
      <c r="E22" s="26">
        <f>$B$5*(1+E15)</f>
        <v>828.30000000000007</v>
      </c>
    </row>
    <row r="23" spans="1:5" x14ac:dyDescent="0.25">
      <c r="A23" s="32" t="s">
        <v>312</v>
      </c>
      <c r="B23" s="25">
        <f>B21-$B$9*(1+B15)</f>
        <v>80217.364500000112</v>
      </c>
      <c r="C23" s="25">
        <f>C21-$B$9*(1+C15)</f>
        <v>92903.16771450013</v>
      </c>
      <c r="D23" s="25">
        <f>D21-$B$9*(1+D15)</f>
        <v>55693.770210000075</v>
      </c>
      <c r="E23" s="25">
        <f>E21-$B$9*(1+E15)</f>
        <v>92903.16771450013</v>
      </c>
    </row>
    <row r="24" spans="1:5" x14ac:dyDescent="0.25">
      <c r="A24" s="32" t="s">
        <v>313</v>
      </c>
      <c r="B24" s="27">
        <f>IFERROR(B23/B21,0)</f>
        <v>0.35</v>
      </c>
      <c r="C24" s="27">
        <f>IFERROR(C23/C21,0)</f>
        <v>0.36180657830142365</v>
      </c>
      <c r="D24" s="27">
        <f>IFERROR(D23/D21,0)</f>
        <v>0.29347826086956519</v>
      </c>
      <c r="E24" s="27">
        <f>IFERROR(E23/E21,0)</f>
        <v>0.36180657830142365</v>
      </c>
    </row>
    <row r="25" spans="1:5" x14ac:dyDescent="0.25">
      <c r="A25" s="32" t="s">
        <v>314</v>
      </c>
      <c r="B25" s="73">
        <f>B21-$B$21</f>
        <v>0</v>
      </c>
      <c r="C25" s="73">
        <f>C21-$B$21</f>
        <v>27583.313764500053</v>
      </c>
      <c r="D25" s="73">
        <f>D21-$B$21</f>
        <v>-39421.104840000044</v>
      </c>
      <c r="E25" s="73">
        <f>E21-$B$21</f>
        <v>27583.313764500053</v>
      </c>
    </row>
    <row r="26" spans="1:5" x14ac:dyDescent="0.25">
      <c r="A26" s="32" t="s">
        <v>315</v>
      </c>
      <c r="B26" s="47">
        <f>B21/$B$21-1</f>
        <v>0</v>
      </c>
      <c r="C26" s="47">
        <f>C21/$B$21-1</f>
        <v>0.12034999999999996</v>
      </c>
      <c r="D26" s="47">
        <f>D21/$B$21-1</f>
        <v>-0.17199999999999993</v>
      </c>
      <c r="E26" s="47">
        <f>E21/$B$21-1</f>
        <v>0.12034999999999996</v>
      </c>
    </row>
    <row r="27" spans="1:5" x14ac:dyDescent="0.25">
      <c r="A27" s="32" t="s">
        <v>316</v>
      </c>
      <c r="B27" s="73">
        <f>B23-$B$23</f>
        <v>0</v>
      </c>
      <c r="C27" s="73">
        <f>C23-$B$23</f>
        <v>12685.803214500018</v>
      </c>
      <c r="D27" s="73">
        <f>D23-$B$23</f>
        <v>-24523.594290000037</v>
      </c>
      <c r="E27" s="73">
        <f>E23-$B$23</f>
        <v>12685.803214500018</v>
      </c>
    </row>
    <row r="28" spans="1:5" x14ac:dyDescent="0.25">
      <c r="A28" s="30"/>
    </row>
    <row r="29" spans="1:5" x14ac:dyDescent="0.25">
      <c r="A29" s="30"/>
    </row>
    <row r="31" spans="1:5" ht="15" customHeight="1" x14ac:dyDescent="0.3">
      <c r="A31" s="21" t="s">
        <v>317</v>
      </c>
    </row>
    <row r="32" spans="1:5" x14ac:dyDescent="0.25">
      <c r="A32" s="32" t="s">
        <v>318</v>
      </c>
      <c r="B32" s="74">
        <v>0.05</v>
      </c>
    </row>
    <row r="33" spans="1:2" x14ac:dyDescent="0.25">
      <c r="A33" s="32" t="s">
        <v>319</v>
      </c>
      <c r="B33" s="74">
        <v>0.03</v>
      </c>
    </row>
    <row r="34" spans="1:2" x14ac:dyDescent="0.25">
      <c r="A34" s="32" t="s">
        <v>320</v>
      </c>
      <c r="B34" s="74">
        <v>0.2</v>
      </c>
    </row>
    <row r="35" spans="1:2" x14ac:dyDescent="0.25">
      <c r="A35" s="32" t="s">
        <v>321</v>
      </c>
      <c r="B35" s="25">
        <f>B4*(1+B34)</f>
        <v>275030.96400000039</v>
      </c>
    </row>
    <row r="36" spans="1:2" x14ac:dyDescent="0.25">
      <c r="A36" s="32" t="s">
        <v>322</v>
      </c>
      <c r="B36" s="75">
        <v>0.17820324005891</v>
      </c>
    </row>
    <row r="37" spans="1:2" x14ac:dyDescent="0.25">
      <c r="A37" s="32" t="s">
        <v>323</v>
      </c>
      <c r="B37" s="25">
        <f>B4*(1+B32)*(1+B36)*(1-B33)</f>
        <v>275030.96400000039</v>
      </c>
    </row>
    <row r="38" spans="1:2" x14ac:dyDescent="0.25">
      <c r="A38" s="32" t="s">
        <v>324</v>
      </c>
      <c r="B38" s="76">
        <f>B37-B35</f>
        <v>0</v>
      </c>
    </row>
    <row r="39" spans="1:2" x14ac:dyDescent="0.25">
      <c r="A39" s="32" t="s">
        <v>325</v>
      </c>
      <c r="B39" s="77">
        <f>B35/(B4*(1+B32)*(1-B33))-1</f>
        <v>0.1782032400589102</v>
      </c>
    </row>
    <row r="40" spans="1:2" x14ac:dyDescent="0.25">
      <c r="A40" s="32" t="s">
        <v>326</v>
      </c>
      <c r="B40" s="26">
        <f>B5*B36</f>
        <v>134.18703976435924</v>
      </c>
    </row>
    <row r="41" spans="1:2" x14ac:dyDescent="0.25">
      <c r="A41" s="32" t="s">
        <v>327</v>
      </c>
      <c r="B41" s="24" t="str">
        <f>IF(ABS(B38)&lt;0.5,"Goal achieved","Re-run Goal Seek")</f>
        <v>Goal achieved</v>
      </c>
    </row>
    <row r="43" spans="1:2" x14ac:dyDescent="0.25">
      <c r="A43" s="30"/>
    </row>
    <row r="45" spans="1:2" ht="15" customHeight="1" x14ac:dyDescent="0.3">
      <c r="A45" s="21" t="s">
        <v>328</v>
      </c>
    </row>
    <row r="46" spans="1:2" x14ac:dyDescent="0.25">
      <c r="A46" s="32" t="s">
        <v>329</v>
      </c>
      <c r="B46" s="38">
        <f>B4/B6</f>
        <v>916.76988000000131</v>
      </c>
    </row>
    <row r="47" spans="1:2" x14ac:dyDescent="0.25">
      <c r="A47" s="32" t="s">
        <v>330</v>
      </c>
      <c r="B47" s="26">
        <f>ROUNDUP(B35/B46,0)</f>
        <v>300</v>
      </c>
    </row>
    <row r="48" spans="1:2" x14ac:dyDescent="0.25">
      <c r="A48" s="32" t="s">
        <v>331</v>
      </c>
      <c r="B48" s="26">
        <f>B47-B6</f>
        <v>50</v>
      </c>
    </row>
  </sheetData>
  <conditionalFormatting sqref="B26:E26">
    <cfRule type="iconSet" priority="2">
      <iconSet iconSet="3Arrows">
        <cfvo type="num" val="-10"/>
        <cfvo type="num" val="-1E-4"/>
        <cfvo type="num" val="1E-4"/>
      </iconSet>
    </cfRule>
  </conditionalFormatting>
  <dataValidations count="1">
    <dataValidation type="list" sqref="B18" xr:uid="{00000000-0002-0000-0900-000000000000}">
      <formula1>"Base,Optimistic,Pessimistic"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  <pageSetUpPr fitToPage="1"/>
  </sheetPr>
  <dimension ref="A1:G50"/>
  <sheetViews>
    <sheetView showGridLines="0" topLeftCell="A4" zoomScaleNormal="100" workbookViewId="0">
      <selection activeCell="A44" sqref="A44"/>
    </sheetView>
  </sheetViews>
  <sheetFormatPr defaultColWidth="8.6640625" defaultRowHeight="13.2" x14ac:dyDescent="0.25"/>
  <cols>
    <col min="1" max="1" width="30" customWidth="1"/>
    <col min="2" max="3" width="16" customWidth="1"/>
    <col min="4" max="5" width="14" customWidth="1"/>
    <col min="6" max="6" width="16" customWidth="1"/>
    <col min="7" max="7" width="14" customWidth="1"/>
  </cols>
  <sheetData>
    <row r="1" spans="1:6" ht="21" customHeight="1" x14ac:dyDescent="0.4">
      <c r="A1" s="29" t="s">
        <v>332</v>
      </c>
    </row>
    <row r="2" spans="1:6" x14ac:dyDescent="0.25">
      <c r="A2" s="30"/>
    </row>
    <row r="4" spans="1:6" ht="15" customHeight="1" x14ac:dyDescent="0.3">
      <c r="A4" s="21" t="s">
        <v>333</v>
      </c>
    </row>
    <row r="5" spans="1:6" ht="30" customHeight="1" x14ac:dyDescent="0.25">
      <c r="A5" s="22" t="s">
        <v>334</v>
      </c>
      <c r="B5" s="22" t="s">
        <v>55</v>
      </c>
    </row>
    <row r="6" spans="1:6" x14ac:dyDescent="0.25">
      <c r="A6" s="24" t="s">
        <v>335</v>
      </c>
      <c r="B6" s="78">
        <f>SQRT(B7)</f>
        <v>0.92884475314278125</v>
      </c>
    </row>
    <row r="7" spans="1:6" x14ac:dyDescent="0.25">
      <c r="A7" s="24" t="s">
        <v>336</v>
      </c>
      <c r="B7" s="78">
        <f>INDEX(LINEST('Raw Data'!$N$2:$N$251,'Raw Data'!$H$2:$I$251,TRUE(),TRUE()),3,1)</f>
        <v>0.86275257544087425</v>
      </c>
    </row>
    <row r="8" spans="1:6" x14ac:dyDescent="0.25">
      <c r="A8" s="24" t="s">
        <v>337</v>
      </c>
      <c r="B8" s="78">
        <f>1-(1-B7)*(B10-1)/(B10-2-1)</f>
        <v>0.86164126026225785</v>
      </c>
    </row>
    <row r="9" spans="1:6" x14ac:dyDescent="0.25">
      <c r="A9" s="24" t="s">
        <v>338</v>
      </c>
      <c r="B9" s="79">
        <f>INDEX(LINEST('Raw Data'!$N$2:$N$251,'Raw Data'!$H$2:$I$251,TRUE(),TRUE()),3,2)</f>
        <v>384.0374977385618</v>
      </c>
    </row>
    <row r="10" spans="1:6" x14ac:dyDescent="0.25">
      <c r="A10" s="24" t="s">
        <v>339</v>
      </c>
      <c r="B10" s="80">
        <f>COUNT('Raw Data'!$N$2:$N$251)</f>
        <v>250</v>
      </c>
    </row>
    <row r="12" spans="1:6" ht="30" customHeight="1" x14ac:dyDescent="0.25">
      <c r="A12" s="22" t="s">
        <v>340</v>
      </c>
      <c r="B12" s="22" t="s">
        <v>341</v>
      </c>
      <c r="C12" s="22" t="s">
        <v>342</v>
      </c>
      <c r="D12" s="22" t="s">
        <v>343</v>
      </c>
      <c r="E12" s="22" t="s">
        <v>344</v>
      </c>
      <c r="F12" s="22" t="s">
        <v>345</v>
      </c>
    </row>
    <row r="13" spans="1:6" x14ac:dyDescent="0.25">
      <c r="A13" s="24" t="s">
        <v>346</v>
      </c>
      <c r="B13" s="80">
        <v>2</v>
      </c>
      <c r="C13" s="26">
        <f>INDEX(LINEST('Raw Data'!$N$2:$N$251,'Raw Data'!$H$2:$I$251,TRUE(),TRUE()),5,1)</f>
        <v>228995145.93418038</v>
      </c>
      <c r="D13" s="79">
        <f>C13/B13</f>
        <v>114497572.96709019</v>
      </c>
      <c r="E13" s="81">
        <f>INDEX(LINEST('Raw Data'!$N$2:$N$251,'Raw Data'!$H$2:$I$251,TRUE(),TRUE()),4,1)</f>
        <v>776.33473567328497</v>
      </c>
      <c r="F13" s="82">
        <f>FDIST(E13,B13,B14)</f>
        <v>3.0322789780406021E-107</v>
      </c>
    </row>
    <row r="14" spans="1:6" x14ac:dyDescent="0.25">
      <c r="A14" s="24" t="s">
        <v>347</v>
      </c>
      <c r="B14" s="80">
        <f>INDEX(LINEST('Raw Data'!$N$2:$N$251,'Raw Data'!$H$2:$I$251,TRUE(),TRUE()),4,2)</f>
        <v>247</v>
      </c>
      <c r="C14" s="26">
        <f>INDEX(LINEST('Raw Data'!$N$2:$N$251,'Raw Data'!$H$2:$I$251,TRUE(),TRUE()),5,2)</f>
        <v>36428745.518316083</v>
      </c>
      <c r="D14" s="79">
        <f>C14/B14</f>
        <v>147484.79966929587</v>
      </c>
      <c r="E14" s="24"/>
      <c r="F14" s="24"/>
    </row>
    <row r="15" spans="1:6" x14ac:dyDescent="0.25">
      <c r="A15" s="24" t="s">
        <v>87</v>
      </c>
      <c r="B15" s="80">
        <f>B13+B14</f>
        <v>249</v>
      </c>
      <c r="C15" s="26">
        <f>C13+C14</f>
        <v>265423891.45249647</v>
      </c>
      <c r="D15" s="24"/>
      <c r="E15" s="24"/>
      <c r="F15" s="24"/>
    </row>
    <row r="17" spans="1:7" ht="30" customHeight="1" x14ac:dyDescent="0.25">
      <c r="A17" s="22"/>
      <c r="B17" s="22" t="s">
        <v>348</v>
      </c>
      <c r="C17" s="22" t="s">
        <v>338</v>
      </c>
      <c r="D17" s="22" t="s">
        <v>349</v>
      </c>
      <c r="E17" s="22" t="s">
        <v>350</v>
      </c>
      <c r="F17" s="22" t="s">
        <v>351</v>
      </c>
      <c r="G17" s="22" t="s">
        <v>352</v>
      </c>
    </row>
    <row r="18" spans="1:7" x14ac:dyDescent="0.25">
      <c r="A18" s="32" t="s">
        <v>353</v>
      </c>
      <c r="B18" s="83">
        <f>INDEX(LINEST('Raw Data'!$N$2:$N$251,'Raw Data'!$H$2:$I$251,TRUE(),TRUE()),1,3)</f>
        <v>-931.80858592721211</v>
      </c>
      <c r="C18" s="83">
        <f>INDEX(LINEST('Raw Data'!$N$2:$N$251,'Raw Data'!$H$2:$I$251,TRUE(),TRUE()),2,3)</f>
        <v>64.176586128214524</v>
      </c>
      <c r="D18" s="81">
        <f>B18/C18</f>
        <v>-14.519447701153938</v>
      </c>
      <c r="E18" s="78">
        <f>TDIST(ABS(D18),$B$14,2)</f>
        <v>5.9491879084023646E-35</v>
      </c>
      <c r="F18" s="83">
        <f>B18-TINV(0.05,$B$14)*C18</f>
        <v>-1058.211736902633</v>
      </c>
      <c r="G18" s="83">
        <f>B18+TINV(0.05,$B$14)*C18</f>
        <v>-805.40543495179111</v>
      </c>
    </row>
    <row r="19" spans="1:7" x14ac:dyDescent="0.25">
      <c r="A19" s="32" t="s">
        <v>354</v>
      </c>
      <c r="B19" s="83">
        <f>INDEX(LINEST('Raw Data'!$N$2:$N$251,'Raw Data'!$H$2:$I$251,TRUE(),TRUE()),1,2)</f>
        <v>314.1458836929956</v>
      </c>
      <c r="C19" s="83">
        <f>INDEX(LINEST('Raw Data'!$N$2:$N$251,'Raw Data'!$H$2:$I$251,TRUE(),TRUE()),2,2)</f>
        <v>18.242562242139332</v>
      </c>
      <c r="D19" s="81">
        <f>B19/C19</f>
        <v>17.220491262314873</v>
      </c>
      <c r="E19" s="78">
        <f>TDIST(ABS(D19),$B$14,2)</f>
        <v>3.4020507945743832E-44</v>
      </c>
      <c r="F19" s="83">
        <f>B19-TINV(0.05,$B$14)*C19</f>
        <v>278.21506392852888</v>
      </c>
      <c r="G19" s="83">
        <f>B19+TINV(0.05,$B$14)*C19</f>
        <v>350.07670345746232</v>
      </c>
    </row>
    <row r="20" spans="1:7" x14ac:dyDescent="0.25">
      <c r="A20" s="32" t="s">
        <v>355</v>
      </c>
      <c r="B20" s="83">
        <f>INDEX(LINEST('Raw Data'!$N$2:$N$251,'Raw Data'!$H$2:$I$251,TRUE(),TRUE()),1,1)</f>
        <v>3.0416660405295799</v>
      </c>
      <c r="C20" s="83">
        <f>INDEX(LINEST('Raw Data'!$N$2:$N$251,'Raw Data'!$H$2:$I$251,TRUE(),TRUE()),2,1)</f>
        <v>8.8733343256966732E-2</v>
      </c>
      <c r="D20" s="81">
        <f>B20/C20</f>
        <v>34.278726901127655</v>
      </c>
      <c r="E20" s="78">
        <f>TDIST(ABS(D20),$B$14,2)</f>
        <v>7.2446245379651108E-96</v>
      </c>
      <c r="F20" s="83">
        <f>B20-TINV(0.05,$B$14)*C20</f>
        <v>2.8668955383739165</v>
      </c>
      <c r="G20" s="83">
        <f>B20+TINV(0.05,$B$14)*C20</f>
        <v>3.2164365426852433</v>
      </c>
    </row>
    <row r="21" spans="1:7" x14ac:dyDescent="0.25">
      <c r="A21" s="84" t="str">
        <f>"Equation: Total_Amount = "&amp;TEXT(B18,"#,##0.00")&amp;" + "&amp;TEXT(B19,"#,##0.00")&amp;" x Quantity + "&amp;TEXT(B20,"#,##0.00")&amp;" x Unit_Price"</f>
        <v>Equation: Total_Amount = -931.81 + 314.15 x Quantity + 3.04 x Unit_Price</v>
      </c>
    </row>
    <row r="22" spans="1:7" x14ac:dyDescent="0.25">
      <c r="A22" s="85"/>
    </row>
    <row r="26" spans="1:7" ht="15" customHeight="1" x14ac:dyDescent="0.3">
      <c r="A26" s="21" t="s">
        <v>356</v>
      </c>
    </row>
    <row r="27" spans="1:7" ht="30" customHeight="1" x14ac:dyDescent="0.25">
      <c r="A27" s="22" t="s">
        <v>334</v>
      </c>
      <c r="B27" s="22" t="s">
        <v>55</v>
      </c>
    </row>
    <row r="28" spans="1:7" x14ac:dyDescent="0.25">
      <c r="A28" s="24" t="s">
        <v>335</v>
      </c>
      <c r="B28" s="78">
        <f>SQRT(B29)</f>
        <v>0.27649116687683734</v>
      </c>
    </row>
    <row r="29" spans="1:7" x14ac:dyDescent="0.25">
      <c r="A29" s="24" t="s">
        <v>336</v>
      </c>
      <c r="B29" s="78">
        <f>INDEX(LINEST('Sales Analysis'!$C$61:$C$71,'Sales Analysis'!$J$61:$J$71,TRUE(),TRUE()),3,1)</f>
        <v>7.6447365360915107E-2</v>
      </c>
    </row>
    <row r="30" spans="1:7" x14ac:dyDescent="0.25">
      <c r="A30" s="24" t="s">
        <v>337</v>
      </c>
      <c r="B30" s="78">
        <f>1-(1-B29)*(B32-1)/(B32-1-1)</f>
        <v>-2.6169594043427669E-2</v>
      </c>
    </row>
    <row r="31" spans="1:7" x14ac:dyDescent="0.25">
      <c r="A31" s="24" t="s">
        <v>338</v>
      </c>
      <c r="B31" s="79">
        <f>INDEX(LINEST('Sales Analysis'!$C$61:$C$71,'Sales Analysis'!$J$61:$J$71,TRUE(),TRUE()),3,2)</f>
        <v>4111.4424636589147</v>
      </c>
    </row>
    <row r="32" spans="1:7" x14ac:dyDescent="0.25">
      <c r="A32" s="24" t="s">
        <v>339</v>
      </c>
      <c r="B32" s="80">
        <f>COUNT('Sales Analysis'!$C$61:$C$71)</f>
        <v>11</v>
      </c>
    </row>
    <row r="34" spans="1:7" ht="30" customHeight="1" x14ac:dyDescent="0.25">
      <c r="A34" s="22" t="s">
        <v>340</v>
      </c>
      <c r="B34" s="22" t="s">
        <v>341</v>
      </c>
      <c r="C34" s="22" t="s">
        <v>342</v>
      </c>
      <c r="D34" s="22" t="s">
        <v>343</v>
      </c>
      <c r="E34" s="22" t="s">
        <v>344</v>
      </c>
      <c r="F34" s="22" t="s">
        <v>345</v>
      </c>
    </row>
    <row r="35" spans="1:7" x14ac:dyDescent="0.25">
      <c r="A35" s="24" t="s">
        <v>346</v>
      </c>
      <c r="B35" s="80">
        <v>1</v>
      </c>
      <c r="C35" s="26">
        <f>INDEX(LINEST('Sales Analysis'!$C$61:$C$71,'Sales Analysis'!$J$61:$J$71,TRUE(),TRUE()),5,1)</f>
        <v>12593075.718764544</v>
      </c>
      <c r="D35" s="79">
        <f>C35/B35</f>
        <v>12593075.718764544</v>
      </c>
      <c r="E35" s="81">
        <f>INDEX(LINEST('Sales Analysis'!$C$61:$C$71,'Sales Analysis'!$J$61:$J$71,TRUE(),TRUE()),4,1)</f>
        <v>0.74497788479279226</v>
      </c>
      <c r="F35" s="82">
        <f>FDIST(E35,B35,B36)</f>
        <v>0.41048134704047567</v>
      </c>
    </row>
    <row r="36" spans="1:7" x14ac:dyDescent="0.25">
      <c r="A36" s="24" t="s">
        <v>347</v>
      </c>
      <c r="B36" s="80">
        <f>INDEX(LINEST('Sales Analysis'!$C$61:$C$71,'Sales Analysis'!$J$61:$J$71,TRUE(),TRUE()),4,2)</f>
        <v>9</v>
      </c>
      <c r="C36" s="26">
        <f>INDEX(LINEST('Sales Analysis'!$C$61:$C$71,'Sales Analysis'!$J$61:$J$71,TRUE(),TRUE()),5,2)</f>
        <v>152135632.18779919</v>
      </c>
      <c r="D36" s="79">
        <f>C36/B36</f>
        <v>16903959.131977689</v>
      </c>
      <c r="E36" s="24"/>
      <c r="F36" s="24"/>
    </row>
    <row r="37" spans="1:7" x14ac:dyDescent="0.25">
      <c r="A37" s="24" t="s">
        <v>87</v>
      </c>
      <c r="B37" s="80">
        <f>B35+B36</f>
        <v>10</v>
      </c>
      <c r="C37" s="26">
        <f>C35+C36</f>
        <v>164728707.90656373</v>
      </c>
      <c r="D37" s="24"/>
      <c r="E37" s="24"/>
      <c r="F37" s="24"/>
    </row>
    <row r="39" spans="1:7" ht="30" customHeight="1" x14ac:dyDescent="0.25">
      <c r="A39" s="22"/>
      <c r="B39" s="22" t="s">
        <v>348</v>
      </c>
      <c r="C39" s="22" t="s">
        <v>338</v>
      </c>
      <c r="D39" s="22" t="s">
        <v>349</v>
      </c>
      <c r="E39" s="22" t="s">
        <v>350</v>
      </c>
      <c r="F39" s="22" t="s">
        <v>351</v>
      </c>
      <c r="G39" s="22" t="s">
        <v>352</v>
      </c>
    </row>
    <row r="40" spans="1:7" x14ac:dyDescent="0.25">
      <c r="A40" s="32" t="s">
        <v>353</v>
      </c>
      <c r="B40" s="83">
        <f>INDEX(LINEST('Sales Analysis'!$C$61:$C$71,'Sales Analysis'!$J$61:$J$71,TRUE(),TRUE()),1,2)</f>
        <v>15930.923363636364</v>
      </c>
      <c r="C40" s="83">
        <f>INDEX(LINEST('Sales Analysis'!$C$61:$C$71,'Sales Analysis'!$J$61:$J$71,TRUE(),TRUE()),2,2)</f>
        <v>3011.0909964612247</v>
      </c>
      <c r="D40" s="81">
        <f>B40/C40</f>
        <v>5.290747899136603</v>
      </c>
      <c r="E40" s="78">
        <f>TDIST(ABS(D40),$B$36,2)</f>
        <v>4.9993776964454839E-4</v>
      </c>
      <c r="F40" s="83">
        <f>B40-TINV(0.05,$B$36)*C40</f>
        <v>9119.3622981544195</v>
      </c>
      <c r="G40" s="83">
        <f>B40+TINV(0.05,$B$36)*C40</f>
        <v>22742.484429118311</v>
      </c>
    </row>
    <row r="41" spans="1:7" x14ac:dyDescent="0.25">
      <c r="A41" s="32" t="s">
        <v>120</v>
      </c>
      <c r="B41" s="83">
        <f>INDEX(LINEST('Sales Analysis'!$C$61:$C$71,'Sales Analysis'!$J$61:$J$71,TRUE(),TRUE()),1,1)</f>
        <v>338.35263636363641</v>
      </c>
      <c r="C41" s="83">
        <f>INDEX(LINEST('Sales Analysis'!$C$61:$C$71,'Sales Analysis'!$J$61:$J$71,TRUE(),TRUE()),2,1)</f>
        <v>392.01065769345064</v>
      </c>
      <c r="D41" s="81">
        <f>B41/C41</f>
        <v>0.86312101399096552</v>
      </c>
      <c r="E41" s="78">
        <f>TDIST(ABS(D41),$B$36,2)</f>
        <v>0.41048134704047567</v>
      </c>
      <c r="F41" s="83">
        <f>B41-TINV(0.05,$B$36)*C41</f>
        <v>-548.43708083083834</v>
      </c>
      <c r="G41" s="83">
        <f>B41+TINV(0.05,$B$36)*C41</f>
        <v>1225.1423535581112</v>
      </c>
    </row>
    <row r="43" spans="1:7" x14ac:dyDescent="0.25">
      <c r="A43" s="84" t="str">
        <f>"Trend: revenue changes by "&amp;TEXT(B41,"$#,##0")&amp;" per month (p = "&amp;TEXT(E41,"0.000")&amp;") - "&amp;IF(E41&lt;0.05,"statistically significant trend.","NOT statistically significant: no reliable up/down trend.")</f>
        <v>Trend: revenue changes by $338 per month (p = 0.410) - NOT statistically significant: no reliable up/down trend.</v>
      </c>
    </row>
    <row r="45" spans="1:7" ht="15" customHeight="1" x14ac:dyDescent="0.3">
      <c r="A45" s="21" t="s">
        <v>357</v>
      </c>
    </row>
    <row r="46" spans="1:7" ht="30" customHeight="1" x14ac:dyDescent="0.25">
      <c r="A46" s="22" t="s">
        <v>35</v>
      </c>
      <c r="B46" s="22" t="s">
        <v>120</v>
      </c>
      <c r="C46" s="22" t="s">
        <v>358</v>
      </c>
    </row>
    <row r="47" spans="1:7" x14ac:dyDescent="0.25">
      <c r="A47" s="24" t="str">
        <f>TEXT(EDATE('Sales Analysis'!$A$60,B47-1),"mmm yyyy")</f>
        <v>Apr 2025</v>
      </c>
      <c r="B47" s="23">
        <v>13</v>
      </c>
      <c r="C47" s="25">
        <f>FORECAST(B47,'Sales Analysis'!$C$61:$C$71,'Sales Analysis'!$J$61:$J$71)</f>
        <v>20329.50763636364</v>
      </c>
    </row>
    <row r="48" spans="1:7" x14ac:dyDescent="0.25">
      <c r="A48" s="24" t="str">
        <f>TEXT(EDATE('Sales Analysis'!$A$60,B48-1),"mmm yyyy")</f>
        <v>May 2025</v>
      </c>
      <c r="B48" s="23">
        <v>14</v>
      </c>
      <c r="C48" s="25">
        <f>FORECAST(B48,'Sales Analysis'!$C$61:$C$71,'Sales Analysis'!$J$61:$J$71)</f>
        <v>20667.860272727274</v>
      </c>
    </row>
    <row r="49" spans="1:3" x14ac:dyDescent="0.25">
      <c r="A49" s="24" t="str">
        <f>TEXT(EDATE('Sales Analysis'!$A$60,B49-1),"mmm yyyy")</f>
        <v>Jun 2025</v>
      </c>
      <c r="B49" s="23">
        <v>15</v>
      </c>
      <c r="C49" s="25">
        <f>FORECAST(B49,'Sales Analysis'!$C$61:$C$71,'Sales Analysis'!$J$61:$J$71)</f>
        <v>21006.212909090911</v>
      </c>
    </row>
    <row r="50" spans="1:3" x14ac:dyDescent="0.25">
      <c r="A50" s="30"/>
    </row>
  </sheetData>
  <conditionalFormatting sqref="E18:E20">
    <cfRule type="expression" dxfId="1" priority="2">
      <formula>E18&lt;0.05</formula>
    </cfRule>
  </conditionalFormatting>
  <conditionalFormatting sqref="E40:E41">
    <cfRule type="expression" dxfId="0" priority="3">
      <formula>E40&lt;0.05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K108"/>
  <sheetViews>
    <sheetView showGridLines="0" zoomScaleNormal="100" workbookViewId="0"/>
  </sheetViews>
  <sheetFormatPr defaultColWidth="8.6640625" defaultRowHeight="13.2" x14ac:dyDescent="0.25"/>
  <cols>
    <col min="1" max="1" width="26" customWidth="1"/>
    <col min="2" max="4" width="17" customWidth="1"/>
    <col min="5" max="5" width="18" customWidth="1"/>
    <col min="6" max="6" width="17" customWidth="1"/>
    <col min="7" max="7" width="3" customWidth="1"/>
    <col min="8" max="11" width="17" customWidth="1"/>
  </cols>
  <sheetData>
    <row r="1" spans="1:6" ht="17.399999999999999" x14ac:dyDescent="0.3">
      <c r="A1" s="86" t="s">
        <v>359</v>
      </c>
    </row>
    <row r="2" spans="1:6" x14ac:dyDescent="0.25">
      <c r="A2" s="87" t="s">
        <v>360</v>
      </c>
    </row>
    <row r="3" spans="1:6" ht="15.6" x14ac:dyDescent="0.3">
      <c r="A3" s="88" t="s">
        <v>361</v>
      </c>
    </row>
    <row r="4" spans="1:6" ht="26.4" x14ac:dyDescent="0.25">
      <c r="A4" s="89" t="s">
        <v>35</v>
      </c>
      <c r="B4" s="89" t="s">
        <v>27</v>
      </c>
      <c r="C4" s="89" t="s">
        <v>28</v>
      </c>
      <c r="D4" s="89" t="s">
        <v>117</v>
      </c>
      <c r="E4" s="89" t="s">
        <v>362</v>
      </c>
      <c r="F4" s="89" t="s">
        <v>119</v>
      </c>
    </row>
    <row r="5" spans="1:6" x14ac:dyDescent="0.25">
      <c r="A5" s="90" t="str">
        <f>TEXT('Sales Analysis'!A60,"mmm-yy")</f>
        <v>Apr-24</v>
      </c>
      <c r="B5" s="91">
        <f>'Sales Analysis'!C60</f>
        <v>20919.330000000002</v>
      </c>
      <c r="C5" s="92">
        <f>'Sales Analysis'!D60</f>
        <v>21</v>
      </c>
      <c r="D5" s="91">
        <f>'Sales Analysis'!G60</f>
        <v>20919.330000000002</v>
      </c>
      <c r="E5" s="93"/>
      <c r="F5" s="91">
        <f>'Sales Analysis'!I60</f>
        <v>1045.9665</v>
      </c>
    </row>
    <row r="6" spans="1:6" x14ac:dyDescent="0.25">
      <c r="A6" s="90" t="str">
        <f>TEXT('Sales Analysis'!A61,"mmm-yy")</f>
        <v>May-24</v>
      </c>
      <c r="B6" s="91">
        <f>'Sales Analysis'!C61</f>
        <v>17039.349999999999</v>
      </c>
      <c r="C6" s="92">
        <f>'Sales Analysis'!D61</f>
        <v>19</v>
      </c>
      <c r="D6" s="91">
        <f>'Sales Analysis'!G61</f>
        <v>37958.68</v>
      </c>
      <c r="E6" s="93" t="str">
        <f>IF(AND('Sales Analysis'!K61="Full",'Sales Analysis'!K60="Full"),'Sales Analysis'!F61,"")</f>
        <v/>
      </c>
      <c r="F6" s="91">
        <f>'Sales Analysis'!I61</f>
        <v>549.6564516129032</v>
      </c>
    </row>
    <row r="7" spans="1:6" x14ac:dyDescent="0.25">
      <c r="A7" s="90" t="str">
        <f>TEXT('Sales Analysis'!A62,"mmm-yy")</f>
        <v>Jun-24</v>
      </c>
      <c r="B7" s="91">
        <f>'Sales Analysis'!C62</f>
        <v>19299.45</v>
      </c>
      <c r="C7" s="92">
        <f>'Sales Analysis'!D62</f>
        <v>19</v>
      </c>
      <c r="D7" s="91">
        <f>'Sales Analysis'!G62</f>
        <v>57258.130000000005</v>
      </c>
      <c r="E7" s="93">
        <f>IF(AND('Sales Analysis'!K62="Full",'Sales Analysis'!K61="Full"),'Sales Analysis'!F62,"")</f>
        <v>0.13264003615161379</v>
      </c>
      <c r="F7" s="91">
        <f>'Sales Analysis'!I62</f>
        <v>643.31500000000005</v>
      </c>
    </row>
    <row r="8" spans="1:6" x14ac:dyDescent="0.25">
      <c r="A8" s="90" t="str">
        <f>TEXT('Sales Analysis'!A63,"mmm-yy")</f>
        <v>Jul-24</v>
      </c>
      <c r="B8" s="91">
        <f>'Sales Analysis'!C63</f>
        <v>18479.399999999994</v>
      </c>
      <c r="C8" s="92">
        <f>'Sales Analysis'!D63</f>
        <v>24</v>
      </c>
      <c r="D8" s="91">
        <f>'Sales Analysis'!G63</f>
        <v>75737.53</v>
      </c>
      <c r="E8" s="93">
        <f>IF(AND('Sales Analysis'!K63="Full",'Sales Analysis'!K62="Full"),'Sales Analysis'!F63,"")</f>
        <v>-4.2490848184793206E-2</v>
      </c>
      <c r="F8" s="91">
        <f>'Sales Analysis'!I63</f>
        <v>596.10967741935463</v>
      </c>
    </row>
    <row r="9" spans="1:6" x14ac:dyDescent="0.25">
      <c r="A9" s="90" t="str">
        <f>TEXT('Sales Analysis'!A64,"mmm-yy")</f>
        <v>Aug-24</v>
      </c>
      <c r="B9" s="91">
        <f>'Sales Analysis'!C64</f>
        <v>15759.429999999997</v>
      </c>
      <c r="C9" s="92">
        <f>'Sales Analysis'!D64</f>
        <v>18</v>
      </c>
      <c r="D9" s="91">
        <f>'Sales Analysis'!G64</f>
        <v>91496.959999999992</v>
      </c>
      <c r="E9" s="93">
        <f>IF(AND('Sales Analysis'!K64="Full",'Sales Analysis'!K63="Full"),'Sales Analysis'!F64,"")</f>
        <v>-0.14718930268298747</v>
      </c>
      <c r="F9" s="91">
        <f>'Sales Analysis'!I64</f>
        <v>508.36870967741925</v>
      </c>
    </row>
    <row r="10" spans="1:6" x14ac:dyDescent="0.25">
      <c r="A10" s="90" t="str">
        <f>TEXT('Sales Analysis'!A65,"mmm-yy")</f>
        <v>Sep-24</v>
      </c>
      <c r="B10" s="91">
        <f>'Sales Analysis'!C65</f>
        <v>12989.509999999997</v>
      </c>
      <c r="C10" s="92">
        <f>'Sales Analysis'!D65</f>
        <v>19</v>
      </c>
      <c r="D10" s="91">
        <f>'Sales Analysis'!G65</f>
        <v>104486.46999999999</v>
      </c>
      <c r="E10" s="93">
        <f>IF(AND('Sales Analysis'!K65="Full",'Sales Analysis'!K64="Full"),'Sales Analysis'!F65,"")</f>
        <v>-0.17576270207742284</v>
      </c>
      <c r="F10" s="91">
        <f>'Sales Analysis'!I65</f>
        <v>432.98366666666658</v>
      </c>
    </row>
    <row r="11" spans="1:6" x14ac:dyDescent="0.25">
      <c r="A11" s="90" t="str">
        <f>TEXT('Sales Analysis'!A66,"mmm-yy")</f>
        <v>Oct-24</v>
      </c>
      <c r="B11" s="91">
        <f>'Sales Analysis'!C66</f>
        <v>20609.52</v>
      </c>
      <c r="C11" s="92">
        <f>'Sales Analysis'!D66</f>
        <v>16</v>
      </c>
      <c r="D11" s="91">
        <f>'Sales Analysis'!G66</f>
        <v>125095.98999999999</v>
      </c>
      <c r="E11" s="93">
        <f>IF(AND('Sales Analysis'!K66="Full",'Sales Analysis'!K65="Full"),'Sales Analysis'!F66,"")</f>
        <v>0.58662797903847075</v>
      </c>
      <c r="F11" s="91">
        <f>'Sales Analysis'!I66</f>
        <v>664.82322580645166</v>
      </c>
    </row>
    <row r="12" spans="1:6" x14ac:dyDescent="0.25">
      <c r="A12" s="90" t="str">
        <f>TEXT('Sales Analysis'!A67,"mmm-yy")</f>
        <v>Nov-24</v>
      </c>
      <c r="B12" s="91">
        <f>'Sales Analysis'!C67</f>
        <v>12309.439999999999</v>
      </c>
      <c r="C12" s="92">
        <f>'Sales Analysis'!D67</f>
        <v>17</v>
      </c>
      <c r="D12" s="91">
        <f>'Sales Analysis'!G67</f>
        <v>137405.43</v>
      </c>
      <c r="E12" s="93">
        <f>IF(AND('Sales Analysis'!K67="Full",'Sales Analysis'!K66="Full"),'Sales Analysis'!F67,"")</f>
        <v>-0.40273038867474842</v>
      </c>
      <c r="F12" s="91">
        <f>'Sales Analysis'!I67</f>
        <v>410.3146666666666</v>
      </c>
    </row>
    <row r="13" spans="1:6" x14ac:dyDescent="0.25">
      <c r="A13" s="90" t="str">
        <f>TEXT('Sales Analysis'!A68,"mmm-yy")</f>
        <v>Dec-24</v>
      </c>
      <c r="B13" s="91">
        <f>'Sales Analysis'!C68</f>
        <v>23039.3</v>
      </c>
      <c r="C13" s="92">
        <f>'Sales Analysis'!D68</f>
        <v>25</v>
      </c>
      <c r="D13" s="91">
        <f>'Sales Analysis'!G68</f>
        <v>160444.72999999998</v>
      </c>
      <c r="E13" s="93">
        <f>IF(AND('Sales Analysis'!K68="Full",'Sales Analysis'!K67="Full"),'Sales Analysis'!F68,"")</f>
        <v>0.87167734681675224</v>
      </c>
      <c r="F13" s="91">
        <f>'Sales Analysis'!I68</f>
        <v>743.20322580645154</v>
      </c>
    </row>
    <row r="14" spans="1:6" x14ac:dyDescent="0.25">
      <c r="A14" s="90" t="str">
        <f>TEXT('Sales Analysis'!A69,"mmm-yy")</f>
        <v>Jan-25</v>
      </c>
      <c r="B14" s="91">
        <f>'Sales Analysis'!C69</f>
        <v>25799.15</v>
      </c>
      <c r="C14" s="92">
        <f>'Sales Analysis'!D69</f>
        <v>26</v>
      </c>
      <c r="D14" s="91">
        <f>'Sales Analysis'!G69</f>
        <v>186243.87999999998</v>
      </c>
      <c r="E14" s="93">
        <f>IF(AND('Sales Analysis'!K69="Full",'Sales Analysis'!K68="Full"),'Sales Analysis'!F69,"")</f>
        <v>0.11978879566653511</v>
      </c>
      <c r="F14" s="91">
        <f>'Sales Analysis'!I69</f>
        <v>832.23064516129034</v>
      </c>
    </row>
    <row r="15" spans="1:6" x14ac:dyDescent="0.25">
      <c r="A15" s="90" t="str">
        <f>TEXT('Sales Analysis'!A70,"mmm-yy")</f>
        <v>Feb-25</v>
      </c>
      <c r="B15" s="91">
        <f>'Sales Analysis'!C70</f>
        <v>16069.379999999997</v>
      </c>
      <c r="C15" s="92">
        <f>'Sales Analysis'!D70</f>
        <v>20</v>
      </c>
      <c r="D15" s="91">
        <f>'Sales Analysis'!G70</f>
        <v>202313.25999999998</v>
      </c>
      <c r="E15" s="93">
        <f>IF(AND('Sales Analysis'!K70="Full",'Sales Analysis'!K69="Full"),'Sales Analysis'!F70,"")</f>
        <v>-0.37713529321702477</v>
      </c>
      <c r="F15" s="91">
        <f>'Sales Analysis'!I70</f>
        <v>573.90642857142848</v>
      </c>
    </row>
    <row r="16" spans="1:6" x14ac:dyDescent="0.25">
      <c r="A16" s="90" t="str">
        <f>TEXT('Sales Analysis'!A71,"mmm-yy")</f>
        <v>Mar-25</v>
      </c>
      <c r="B16" s="91">
        <f>'Sales Analysis'!C71</f>
        <v>19899.379999999997</v>
      </c>
      <c r="C16" s="92">
        <f>'Sales Analysis'!D71</f>
        <v>19</v>
      </c>
      <c r="D16" s="91">
        <f>'Sales Analysis'!G71</f>
        <v>222212.63999999998</v>
      </c>
      <c r="E16" s="93">
        <f>IF(AND('Sales Analysis'!K71="Full",'Sales Analysis'!K70="Full"),'Sales Analysis'!F71,"")</f>
        <v>0.23834149170658736</v>
      </c>
      <c r="F16" s="91">
        <f>'Sales Analysis'!I71</f>
        <v>641.91548387096771</v>
      </c>
    </row>
    <row r="17" spans="1:11" x14ac:dyDescent="0.25">
      <c r="A17" s="90" t="str">
        <f>TEXT('Sales Analysis'!A72,"mmm-yy")</f>
        <v>Apr-25</v>
      </c>
      <c r="B17" s="91">
        <f>'Sales Analysis'!C72</f>
        <v>6979.829999999999</v>
      </c>
      <c r="C17" s="92">
        <f>'Sales Analysis'!D72</f>
        <v>7</v>
      </c>
      <c r="D17" s="91">
        <f>'Sales Analysis'!G72</f>
        <v>229192.46999999997</v>
      </c>
      <c r="E17" s="93" t="str">
        <f>IF(AND('Sales Analysis'!K72="Full",'Sales Analysis'!K71="Full"),'Sales Analysis'!F72,"")</f>
        <v/>
      </c>
      <c r="F17" s="91">
        <f>'Sales Analysis'!I72</f>
        <v>634.52999999999986</v>
      </c>
    </row>
    <row r="18" spans="1:11" x14ac:dyDescent="0.25">
      <c r="A18" s="87" t="s">
        <v>363</v>
      </c>
    </row>
    <row r="20" spans="1:11" ht="15.6" x14ac:dyDescent="0.3">
      <c r="A20" s="88" t="s">
        <v>364</v>
      </c>
    </row>
    <row r="21" spans="1:11" ht="26.4" x14ac:dyDescent="0.25">
      <c r="A21" s="89" t="s">
        <v>25</v>
      </c>
      <c r="B21" s="89" t="s">
        <v>36</v>
      </c>
      <c r="C21" s="89" t="s">
        <v>27</v>
      </c>
      <c r="D21" s="89" t="s">
        <v>85</v>
      </c>
      <c r="E21" s="89" t="s">
        <v>28</v>
      </c>
      <c r="H21" s="89" t="s">
        <v>365</v>
      </c>
      <c r="I21" s="89" t="s">
        <v>27</v>
      </c>
      <c r="J21" s="89" t="s">
        <v>115</v>
      </c>
      <c r="K21" s="89" t="s">
        <v>366</v>
      </c>
    </row>
    <row r="22" spans="1:11" x14ac:dyDescent="0.25">
      <c r="A22" s="94">
        <v>1</v>
      </c>
      <c r="B22" s="95" t="str">
        <f t="shared" ref="B22:B31" si="0">INDEX($H$22:$H$31,MATCH($A22,$K$22:$K$31,0))</f>
        <v>Laptop</v>
      </c>
      <c r="C22" s="91">
        <f t="shared" ref="C22:C31" si="1">INDEX($I$22:$I$31,MATCH($A22,$K$22:$K$31,0))</f>
        <v>67499.25</v>
      </c>
      <c r="D22" s="92">
        <f t="shared" ref="D22:D31" si="2">INDEX($J$22:$J$31,MATCH($A22,$K$22:$K$31,0))</f>
        <v>75</v>
      </c>
      <c r="E22" s="92">
        <f>COUNTIF('Raw Data'!$F$2:$F$251,B22)</f>
        <v>24</v>
      </c>
      <c r="H22" s="95" t="str">
        <f>'Sales Analysis'!A37</f>
        <v>Laptop</v>
      </c>
      <c r="I22" s="91">
        <f>'Sales Analysis'!B37</f>
        <v>67499.25</v>
      </c>
      <c r="J22" s="92">
        <f>'Sales Analysis'!D37</f>
        <v>75</v>
      </c>
      <c r="K22" s="92">
        <f>RANK(I22,$I$22:$I$31,0)+COUNTIF($I$22:I22,I22)-1</f>
        <v>1</v>
      </c>
    </row>
    <row r="23" spans="1:11" x14ac:dyDescent="0.25">
      <c r="A23" s="94">
        <v>2</v>
      </c>
      <c r="B23" s="95" t="str">
        <f t="shared" si="0"/>
        <v>Smartphone</v>
      </c>
      <c r="C23" s="91">
        <f t="shared" si="1"/>
        <v>67199.039999999994</v>
      </c>
      <c r="D23" s="92">
        <f t="shared" si="2"/>
        <v>96</v>
      </c>
      <c r="E23" s="92">
        <f>COUNTIF('Raw Data'!$F$2:$F$251,B23)</f>
        <v>31</v>
      </c>
      <c r="H23" s="95" t="str">
        <f>'Sales Analysis'!A38</f>
        <v>Smartphone</v>
      </c>
      <c r="I23" s="91">
        <f>'Sales Analysis'!B38</f>
        <v>67199.039999999994</v>
      </c>
      <c r="J23" s="92">
        <f>'Sales Analysis'!D38</f>
        <v>96</v>
      </c>
      <c r="K23" s="92">
        <f>RANK(I23,$I$22:$I$31,0)+COUNTIF($I$22:I23,I23)-1</f>
        <v>2</v>
      </c>
    </row>
    <row r="24" spans="1:11" x14ac:dyDescent="0.25">
      <c r="A24" s="94">
        <v>3</v>
      </c>
      <c r="B24" s="95" t="str">
        <f t="shared" si="0"/>
        <v>Desk</v>
      </c>
      <c r="C24" s="91">
        <f t="shared" si="1"/>
        <v>23399.22</v>
      </c>
      <c r="D24" s="92">
        <f t="shared" si="2"/>
        <v>78</v>
      </c>
      <c r="E24" s="92">
        <f>COUNTIF('Raw Data'!$F$2:$F$251,B24)</f>
        <v>26</v>
      </c>
      <c r="H24" s="95" t="str">
        <f>'Sales Analysis'!A39</f>
        <v>Headphones</v>
      </c>
      <c r="I24" s="91">
        <f>'Sales Analysis'!B39</f>
        <v>7049.5299999999988</v>
      </c>
      <c r="J24" s="92">
        <f>'Sales Analysis'!D39</f>
        <v>47</v>
      </c>
      <c r="K24" s="92">
        <f>RANK(I24,$I$22:$I$31,0)+COUNTIF($I$22:I24,I24)-1</f>
        <v>8</v>
      </c>
    </row>
    <row r="25" spans="1:11" x14ac:dyDescent="0.25">
      <c r="A25" s="94">
        <v>4</v>
      </c>
      <c r="B25" s="95" t="str">
        <f t="shared" si="0"/>
        <v>Monitor</v>
      </c>
      <c r="C25" s="91">
        <f t="shared" si="1"/>
        <v>21999.119999999999</v>
      </c>
      <c r="D25" s="92">
        <f t="shared" si="2"/>
        <v>88</v>
      </c>
      <c r="E25" s="92">
        <f>COUNTIF('Raw Data'!$F$2:$F$251,B25)</f>
        <v>26</v>
      </c>
      <c r="H25" s="95" t="str">
        <f>'Sales Analysis'!A40</f>
        <v>Coffee Maker</v>
      </c>
      <c r="I25" s="91">
        <f>'Sales Analysis'!B40</f>
        <v>3119.6099999999992</v>
      </c>
      <c r="J25" s="92">
        <f>'Sales Analysis'!D40</f>
        <v>39</v>
      </c>
      <c r="K25" s="92">
        <f>RANK(I25,$I$22:$I$31,0)+COUNTIF($I$22:I25,I25)-1</f>
        <v>10</v>
      </c>
    </row>
    <row r="26" spans="1:11" x14ac:dyDescent="0.25">
      <c r="A26" s="94">
        <v>5</v>
      </c>
      <c r="B26" s="95" t="str">
        <f t="shared" si="0"/>
        <v>Bookshelf</v>
      </c>
      <c r="C26" s="91">
        <f t="shared" si="1"/>
        <v>15298.979999999994</v>
      </c>
      <c r="D26" s="92">
        <f t="shared" si="2"/>
        <v>102</v>
      </c>
      <c r="E26" s="92">
        <f>COUNTIF('Raw Data'!$F$2:$F$251,B26)</f>
        <v>35</v>
      </c>
      <c r="H26" s="95" t="str">
        <f>'Sales Analysis'!A41</f>
        <v>Blender</v>
      </c>
      <c r="I26" s="91">
        <f>'Sales Analysis'!B41</f>
        <v>5219.1299999999974</v>
      </c>
      <c r="J26" s="92">
        <f>'Sales Analysis'!D41</f>
        <v>87</v>
      </c>
      <c r="K26" s="92">
        <f>RANK(I26,$I$22:$I$31,0)+COUNTIF($I$22:I26,I26)-1</f>
        <v>9</v>
      </c>
    </row>
    <row r="27" spans="1:11" x14ac:dyDescent="0.25">
      <c r="A27" s="94">
        <v>6</v>
      </c>
      <c r="B27" s="95" t="str">
        <f t="shared" si="0"/>
        <v>Office Chair</v>
      </c>
      <c r="C27" s="91">
        <f t="shared" si="1"/>
        <v>10399.479999999998</v>
      </c>
      <c r="D27" s="92">
        <f t="shared" si="2"/>
        <v>52</v>
      </c>
      <c r="E27" s="92">
        <f>COUNTIF('Raw Data'!$F$2:$F$251,B27)</f>
        <v>15</v>
      </c>
      <c r="H27" s="95" t="str">
        <f>'Sales Analysis'!A42</f>
        <v>Office Chair</v>
      </c>
      <c r="I27" s="91">
        <f>'Sales Analysis'!B42</f>
        <v>10399.479999999998</v>
      </c>
      <c r="J27" s="92">
        <f>'Sales Analysis'!D42</f>
        <v>52</v>
      </c>
      <c r="K27" s="92">
        <f>RANK(I27,$I$22:$I$31,0)+COUNTIF($I$22:I27,I27)-1</f>
        <v>6</v>
      </c>
    </row>
    <row r="28" spans="1:11" x14ac:dyDescent="0.25">
      <c r="A28" s="94">
        <v>7</v>
      </c>
      <c r="B28" s="95" t="str">
        <f t="shared" si="0"/>
        <v>Keyboard</v>
      </c>
      <c r="C28" s="91">
        <f t="shared" si="1"/>
        <v>8009.1099999999969</v>
      </c>
      <c r="D28" s="92">
        <f t="shared" si="2"/>
        <v>89</v>
      </c>
      <c r="E28" s="92">
        <f>COUNTIF('Raw Data'!$F$2:$F$251,B28)</f>
        <v>34</v>
      </c>
      <c r="H28" s="95" t="str">
        <f>'Sales Analysis'!A43</f>
        <v>Desk</v>
      </c>
      <c r="I28" s="91">
        <f>'Sales Analysis'!B43</f>
        <v>23399.22</v>
      </c>
      <c r="J28" s="92">
        <f>'Sales Analysis'!D43</f>
        <v>78</v>
      </c>
      <c r="K28" s="92">
        <f>RANK(I28,$I$22:$I$31,0)+COUNTIF($I$22:I28,I28)-1</f>
        <v>3</v>
      </c>
    </row>
    <row r="29" spans="1:11" x14ac:dyDescent="0.25">
      <c r="A29" s="94">
        <v>8</v>
      </c>
      <c r="B29" s="95" t="str">
        <f t="shared" si="0"/>
        <v>Headphones</v>
      </c>
      <c r="C29" s="91">
        <f t="shared" si="1"/>
        <v>7049.5299999999988</v>
      </c>
      <c r="D29" s="92">
        <f t="shared" si="2"/>
        <v>47</v>
      </c>
      <c r="E29" s="92">
        <f>COUNTIF('Raw Data'!$F$2:$F$251,B29)</f>
        <v>16</v>
      </c>
      <c r="H29" s="95" t="str">
        <f>'Sales Analysis'!A44</f>
        <v>Bookshelf</v>
      </c>
      <c r="I29" s="91">
        <f>'Sales Analysis'!B44</f>
        <v>15298.979999999994</v>
      </c>
      <c r="J29" s="92">
        <f>'Sales Analysis'!D44</f>
        <v>102</v>
      </c>
      <c r="K29" s="92">
        <f>RANK(I29,$I$22:$I$31,0)+COUNTIF($I$22:I29,I29)-1</f>
        <v>5</v>
      </c>
    </row>
    <row r="30" spans="1:11" x14ac:dyDescent="0.25">
      <c r="A30" s="94">
        <v>9</v>
      </c>
      <c r="B30" s="95" t="str">
        <f t="shared" si="0"/>
        <v>Blender</v>
      </c>
      <c r="C30" s="91">
        <f t="shared" si="1"/>
        <v>5219.1299999999974</v>
      </c>
      <c r="D30" s="92">
        <f t="shared" si="2"/>
        <v>87</v>
      </c>
      <c r="E30" s="92">
        <f>COUNTIF('Raw Data'!$F$2:$F$251,B30)</f>
        <v>29</v>
      </c>
      <c r="H30" s="95" t="str">
        <f>'Sales Analysis'!A45</f>
        <v>Monitor</v>
      </c>
      <c r="I30" s="91">
        <f>'Sales Analysis'!B45</f>
        <v>21999.119999999999</v>
      </c>
      <c r="J30" s="92">
        <f>'Sales Analysis'!D45</f>
        <v>88</v>
      </c>
      <c r="K30" s="92">
        <f>RANK(I30,$I$22:$I$31,0)+COUNTIF($I$22:I30,I30)-1</f>
        <v>4</v>
      </c>
    </row>
    <row r="31" spans="1:11" x14ac:dyDescent="0.25">
      <c r="A31" s="94">
        <v>10</v>
      </c>
      <c r="B31" s="95" t="str">
        <f t="shared" si="0"/>
        <v>Coffee Maker</v>
      </c>
      <c r="C31" s="91">
        <f t="shared" si="1"/>
        <v>3119.6099999999992</v>
      </c>
      <c r="D31" s="92">
        <f t="shared" si="2"/>
        <v>39</v>
      </c>
      <c r="E31" s="92">
        <f>COUNTIF('Raw Data'!$F$2:$F$251,B31)</f>
        <v>14</v>
      </c>
      <c r="H31" s="95" t="str">
        <f>'Sales Analysis'!A46</f>
        <v>Keyboard</v>
      </c>
      <c r="I31" s="91">
        <f>'Sales Analysis'!B46</f>
        <v>8009.1099999999969</v>
      </c>
      <c r="J31" s="92">
        <f>'Sales Analysis'!D46</f>
        <v>89</v>
      </c>
      <c r="K31" s="92">
        <f>RANK(I31,$I$22:$I$31,0)+COUNTIF($I$22:I31,I31)-1</f>
        <v>7</v>
      </c>
    </row>
    <row r="33" spans="1:4" ht="15.6" x14ac:dyDescent="0.3">
      <c r="A33" s="88" t="s">
        <v>367</v>
      </c>
    </row>
    <row r="34" spans="1:4" x14ac:dyDescent="0.25">
      <c r="A34" s="89" t="s">
        <v>2</v>
      </c>
      <c r="B34" s="96" t="str">
        <f>'Sales Analysis'!$A$15</f>
        <v>Appliances</v>
      </c>
      <c r="C34" s="96" t="str">
        <f>'Sales Analysis'!$A$16</f>
        <v>Electronics</v>
      </c>
      <c r="D34" s="96" t="str">
        <f>'Sales Analysis'!$A$17</f>
        <v>Furniture</v>
      </c>
    </row>
    <row r="35" spans="1:4" x14ac:dyDescent="0.25">
      <c r="A35" s="95" t="str">
        <f>'Sales Analysis'!$A$6</f>
        <v>Central</v>
      </c>
      <c r="B35" s="91">
        <f>SUMIFS('Raw Data'!$N$2:$N$251,'Raw Data'!$K$2:$K$251,$A35,'Raw Data'!$G$2:$G$251,B$34)</f>
        <v>1999.71</v>
      </c>
      <c r="C35" s="91">
        <f>SUMIFS('Raw Data'!$N$2:$N$251,'Raw Data'!$K$2:$K$251,$A35,'Raw Data'!$G$2:$G$251,C$34)</f>
        <v>24889.329999999998</v>
      </c>
      <c r="D35" s="91">
        <f>SUMIFS('Raw Data'!$N$2:$N$251,'Raw Data'!$K$2:$K$251,$A35,'Raw Data'!$G$2:$G$251,D$34)</f>
        <v>14399.300000000001</v>
      </c>
    </row>
    <row r="36" spans="1:4" x14ac:dyDescent="0.25">
      <c r="A36" s="95" t="str">
        <f>'Sales Analysis'!$A$7</f>
        <v>East</v>
      </c>
      <c r="B36" s="91">
        <f>SUMIFS('Raw Data'!$N$2:$N$251,'Raw Data'!$K$2:$K$251,$A36,'Raw Data'!$G$2:$G$251,B$34)</f>
        <v>2239.67</v>
      </c>
      <c r="C36" s="91">
        <f>SUMIFS('Raw Data'!$N$2:$N$251,'Raw Data'!$K$2:$K$251,$A36,'Raw Data'!$G$2:$G$251,C$34)</f>
        <v>50649.009999999995</v>
      </c>
      <c r="D36" s="91">
        <f>SUMIFS('Raw Data'!$N$2:$N$251,'Raw Data'!$K$2:$K$251,$A36,'Raw Data'!$G$2:$G$251,D$34)</f>
        <v>6399.71</v>
      </c>
    </row>
    <row r="37" spans="1:4" x14ac:dyDescent="0.25">
      <c r="A37" s="95" t="str">
        <f>'Sales Analysis'!$A$8</f>
        <v>North</v>
      </c>
      <c r="B37" s="91">
        <f>SUMIFS('Raw Data'!$N$2:$N$251,'Raw Data'!$K$2:$K$251,$A37,'Raw Data'!$G$2:$G$251,B$34)</f>
        <v>1119.8399999999999</v>
      </c>
      <c r="C37" s="91">
        <f>SUMIFS('Raw Data'!$N$2:$N$251,'Raw Data'!$K$2:$K$251,$A37,'Raw Data'!$G$2:$G$251,C$34)</f>
        <v>39239.040000000015</v>
      </c>
      <c r="D37" s="91">
        <f>SUMIFS('Raw Data'!$N$2:$N$251,'Raw Data'!$K$2:$K$251,$A37,'Raw Data'!$G$2:$G$251,D$34)</f>
        <v>10449.429999999997</v>
      </c>
    </row>
    <row r="38" spans="1:4" x14ac:dyDescent="0.25">
      <c r="A38" s="95" t="str">
        <f>'Sales Analysis'!$A$9</f>
        <v>South</v>
      </c>
      <c r="B38" s="91">
        <f>SUMIFS('Raw Data'!$N$2:$N$251,'Raw Data'!$K$2:$K$251,$A38,'Raw Data'!$G$2:$G$251,B$34)</f>
        <v>1099.83</v>
      </c>
      <c r="C38" s="91">
        <f>SUMIFS('Raw Data'!$N$2:$N$251,'Raw Data'!$K$2:$K$251,$A38,'Raw Data'!$G$2:$G$251,C$34)</f>
        <v>25549.32</v>
      </c>
      <c r="D38" s="91">
        <f>SUMIFS('Raw Data'!$N$2:$N$251,'Raw Data'!$K$2:$K$251,$A38,'Raw Data'!$G$2:$G$251,D$34)</f>
        <v>9749.5999999999985</v>
      </c>
    </row>
    <row r="39" spans="1:4" x14ac:dyDescent="0.25">
      <c r="A39" s="95" t="str">
        <f>'Sales Analysis'!$A$10</f>
        <v>West</v>
      </c>
      <c r="B39" s="91">
        <f>SUMIFS('Raw Data'!$N$2:$N$251,'Raw Data'!$K$2:$K$251,$A39,'Raw Data'!$G$2:$G$251,B$34)</f>
        <v>1879.69</v>
      </c>
      <c r="C39" s="91">
        <f>SUMIFS('Raw Data'!$N$2:$N$251,'Raw Data'!$K$2:$K$251,$A39,'Raw Data'!$G$2:$G$251,C$34)</f>
        <v>31429.35</v>
      </c>
      <c r="D39" s="91">
        <f>SUMIFS('Raw Data'!$N$2:$N$251,'Raw Data'!$K$2:$K$251,$A39,'Raw Data'!$G$2:$G$251,D$34)</f>
        <v>8099.6400000000012</v>
      </c>
    </row>
    <row r="43" spans="1:4" ht="15.6" x14ac:dyDescent="0.3">
      <c r="A43" s="88" t="s">
        <v>368</v>
      </c>
    </row>
    <row r="44" spans="1:4" x14ac:dyDescent="0.25">
      <c r="A44" s="89" t="s">
        <v>2</v>
      </c>
      <c r="B44" s="89" t="s">
        <v>27</v>
      </c>
      <c r="C44" s="89" t="s">
        <v>58</v>
      </c>
      <c r="D44" s="89" t="s">
        <v>28</v>
      </c>
    </row>
    <row r="45" spans="1:4" x14ac:dyDescent="0.25">
      <c r="A45" s="95" t="str">
        <f>'Sales Analysis'!A6</f>
        <v>Central</v>
      </c>
      <c r="B45" s="91">
        <f>'Sales Analysis'!B6</f>
        <v>41288.340000000018</v>
      </c>
      <c r="C45" s="91">
        <f>'Sales Analysis'!E6</f>
        <v>764.59888888888918</v>
      </c>
      <c r="D45" s="92">
        <f>'Sales Analysis'!C6</f>
        <v>54</v>
      </c>
    </row>
    <row r="46" spans="1:4" x14ac:dyDescent="0.25">
      <c r="A46" s="95" t="str">
        <f>'Sales Analysis'!A7</f>
        <v>East</v>
      </c>
      <c r="B46" s="91">
        <f>'Sales Analysis'!B7</f>
        <v>59288.389999999992</v>
      </c>
      <c r="C46" s="91">
        <f>'Sales Analysis'!E7</f>
        <v>1235.1747916666666</v>
      </c>
      <c r="D46" s="92">
        <f>'Sales Analysis'!C7</f>
        <v>48</v>
      </c>
    </row>
    <row r="47" spans="1:4" x14ac:dyDescent="0.25">
      <c r="A47" s="95" t="str">
        <f>'Sales Analysis'!A8</f>
        <v>North</v>
      </c>
      <c r="B47" s="91">
        <f>'Sales Analysis'!B8</f>
        <v>50808.310000000012</v>
      </c>
      <c r="C47" s="91">
        <f>'Sales Analysis'!E8</f>
        <v>861.15779661016973</v>
      </c>
      <c r="D47" s="92">
        <f>'Sales Analysis'!C8</f>
        <v>59</v>
      </c>
    </row>
    <row r="48" spans="1:4" x14ac:dyDescent="0.25">
      <c r="A48" s="95" t="str">
        <f>'Sales Analysis'!A9</f>
        <v>South</v>
      </c>
      <c r="B48" s="91">
        <f>'Sales Analysis'!B9</f>
        <v>36398.750000000007</v>
      </c>
      <c r="C48" s="91">
        <f>'Sales Analysis'!E9</f>
        <v>866.63690476190493</v>
      </c>
      <c r="D48" s="92">
        <f>'Sales Analysis'!C9</f>
        <v>42</v>
      </c>
    </row>
    <row r="49" spans="1:5" x14ac:dyDescent="0.25">
      <c r="A49" s="95" t="str">
        <f>'Sales Analysis'!A10</f>
        <v>West</v>
      </c>
      <c r="B49" s="91">
        <f>'Sales Analysis'!B10</f>
        <v>41408.680000000015</v>
      </c>
      <c r="C49" s="91">
        <f>'Sales Analysis'!E10</f>
        <v>881.03574468085139</v>
      </c>
      <c r="D49" s="92">
        <f>'Sales Analysis'!C10</f>
        <v>47</v>
      </c>
    </row>
    <row r="52" spans="1:5" ht="15.6" x14ac:dyDescent="0.3">
      <c r="A52" s="88" t="s">
        <v>369</v>
      </c>
    </row>
    <row r="53" spans="1:5" x14ac:dyDescent="0.25">
      <c r="A53" s="89" t="s">
        <v>2</v>
      </c>
      <c r="B53" s="96" t="str">
        <f>'Sales Analysis'!$A$22</f>
        <v>Cash</v>
      </c>
      <c r="C53" s="96" t="str">
        <f>'Sales Analysis'!$A$23</f>
        <v>Credit Card</v>
      </c>
      <c r="D53" s="96" t="str">
        <f>'Sales Analysis'!$A$24</f>
        <v>Debit Card</v>
      </c>
      <c r="E53" s="96" t="str">
        <f>'Sales Analysis'!$A$25</f>
        <v>PayPal</v>
      </c>
    </row>
    <row r="54" spans="1:5" x14ac:dyDescent="0.25">
      <c r="A54" s="95" t="str">
        <f>'Sales Analysis'!$A$6</f>
        <v>Central</v>
      </c>
      <c r="B54" s="91">
        <f>SUMIFS('Raw Data'!$N$2:$N$251,'Raw Data'!$K$2:$K$251,$A54,'Raw Data'!$J$2:$J$251,B$53)</f>
        <v>13919.47</v>
      </c>
      <c r="C54" s="91">
        <f>SUMIFS('Raw Data'!$N$2:$N$251,'Raw Data'!$K$2:$K$251,$A54,'Raw Data'!$J$2:$J$251,C$53)</f>
        <v>10869.589999999998</v>
      </c>
      <c r="D54" s="91">
        <f>SUMIFS('Raw Data'!$N$2:$N$251,'Raw Data'!$K$2:$K$251,$A54,'Raw Data'!$J$2:$J$251,D$53)</f>
        <v>8669.6299999999992</v>
      </c>
      <c r="E54" s="91">
        <f>SUMIFS('Raw Data'!$N$2:$N$251,'Raw Data'!$K$2:$K$251,$A54,'Raw Data'!$J$2:$J$251,E$53)</f>
        <v>7829.6500000000005</v>
      </c>
    </row>
    <row r="55" spans="1:5" x14ac:dyDescent="0.25">
      <c r="A55" s="95" t="str">
        <f>'Sales Analysis'!$A$7</f>
        <v>East</v>
      </c>
      <c r="B55" s="91">
        <f>SUMIFS('Raw Data'!$N$2:$N$251,'Raw Data'!$K$2:$K$251,$A55,'Raw Data'!$J$2:$J$251,B$53)</f>
        <v>11809.7</v>
      </c>
      <c r="C55" s="91">
        <f>SUMIFS('Raw Data'!$N$2:$N$251,'Raw Data'!$K$2:$K$251,$A55,'Raw Data'!$J$2:$J$251,C$53)</f>
        <v>10099.709999999999</v>
      </c>
      <c r="D55" s="91">
        <f>SUMIFS('Raw Data'!$N$2:$N$251,'Raw Data'!$K$2:$K$251,$A55,'Raw Data'!$J$2:$J$251,D$53)</f>
        <v>18159.46</v>
      </c>
      <c r="E55" s="91">
        <f>SUMIFS('Raw Data'!$N$2:$N$251,'Raw Data'!$K$2:$K$251,$A55,'Raw Data'!$J$2:$J$251,E$53)</f>
        <v>19219.52</v>
      </c>
    </row>
    <row r="56" spans="1:5" x14ac:dyDescent="0.25">
      <c r="A56" s="95" t="str">
        <f>'Sales Analysis'!$A$8</f>
        <v>North</v>
      </c>
      <c r="B56" s="91">
        <f>SUMIFS('Raw Data'!$N$2:$N$251,'Raw Data'!$K$2:$K$251,$A56,'Raw Data'!$J$2:$J$251,B$53)</f>
        <v>16839.37</v>
      </c>
      <c r="C56" s="91">
        <f>SUMIFS('Raw Data'!$N$2:$N$251,'Raw Data'!$K$2:$K$251,$A56,'Raw Data'!$J$2:$J$251,C$53)</f>
        <v>16649.440000000002</v>
      </c>
      <c r="D56" s="91">
        <f>SUMIFS('Raw Data'!$N$2:$N$251,'Raw Data'!$K$2:$K$251,$A56,'Raw Data'!$J$2:$J$251,D$53)</f>
        <v>6819.72</v>
      </c>
      <c r="E56" s="91">
        <f>SUMIFS('Raw Data'!$N$2:$N$251,'Raw Data'!$K$2:$K$251,$A56,'Raw Data'!$J$2:$J$251,E$53)</f>
        <v>10499.779999999999</v>
      </c>
    </row>
    <row r="57" spans="1:5" x14ac:dyDescent="0.25">
      <c r="A57" s="95" t="str">
        <f>'Sales Analysis'!$A$9</f>
        <v>South</v>
      </c>
      <c r="B57" s="91">
        <f>SUMIFS('Raw Data'!$N$2:$N$251,'Raw Data'!$K$2:$K$251,$A57,'Raw Data'!$J$2:$J$251,B$53)</f>
        <v>5369.7000000000007</v>
      </c>
      <c r="C57" s="91">
        <f>SUMIFS('Raw Data'!$N$2:$N$251,'Raw Data'!$K$2:$K$251,$A57,'Raw Data'!$J$2:$J$251,C$53)</f>
        <v>11549.619999999999</v>
      </c>
      <c r="D57" s="91">
        <f>SUMIFS('Raw Data'!$N$2:$N$251,'Raw Data'!$K$2:$K$251,$A57,'Raw Data'!$J$2:$J$251,D$53)</f>
        <v>10669.679999999998</v>
      </c>
      <c r="E57" s="91">
        <f>SUMIFS('Raw Data'!$N$2:$N$251,'Raw Data'!$K$2:$K$251,$A57,'Raw Data'!$J$2:$J$251,E$53)</f>
        <v>8809.7500000000018</v>
      </c>
    </row>
    <row r="58" spans="1:5" x14ac:dyDescent="0.25">
      <c r="A58" s="95" t="str">
        <f>'Sales Analysis'!$A$10</f>
        <v>West</v>
      </c>
      <c r="B58" s="91">
        <f>SUMIFS('Raw Data'!$N$2:$N$251,'Raw Data'!$K$2:$K$251,$A58,'Raw Data'!$J$2:$J$251,B$53)</f>
        <v>9489.5499999999975</v>
      </c>
      <c r="C58" s="91">
        <f>SUMIFS('Raw Data'!$N$2:$N$251,'Raw Data'!$K$2:$K$251,$A58,'Raw Data'!$J$2:$J$251,C$53)</f>
        <v>12279.599999999997</v>
      </c>
      <c r="D58" s="91">
        <f>SUMIFS('Raw Data'!$N$2:$N$251,'Raw Data'!$K$2:$K$251,$A58,'Raw Data'!$J$2:$J$251,D$53)</f>
        <v>7799.82</v>
      </c>
      <c r="E58" s="91">
        <f>SUMIFS('Raw Data'!$N$2:$N$251,'Raw Data'!$K$2:$K$251,$A58,'Raw Data'!$J$2:$J$251,E$53)</f>
        <v>11839.71</v>
      </c>
    </row>
    <row r="61" spans="1:5" ht="15.6" x14ac:dyDescent="0.3">
      <c r="A61" s="88" t="s">
        <v>370</v>
      </c>
    </row>
    <row r="62" spans="1:5" x14ac:dyDescent="0.25">
      <c r="A62" s="89" t="s">
        <v>371</v>
      </c>
      <c r="B62" s="89" t="s">
        <v>28</v>
      </c>
      <c r="C62" s="89" t="s">
        <v>27</v>
      </c>
      <c r="D62" s="89" t="s">
        <v>372</v>
      </c>
    </row>
    <row r="63" spans="1:5" x14ac:dyDescent="0.25">
      <c r="A63" s="90" t="s">
        <v>373</v>
      </c>
      <c r="B63" s="92">
        <f>SUMPRODUCT(--(WEEKDAY('Raw Data'!$B$2:$B$251,2)=D63))</f>
        <v>38</v>
      </c>
      <c r="C63" s="91">
        <f>SUMPRODUCT((WEEKDAY('Raw Data'!$B$2:$B$251,2)=D63)*'Raw Data'!$N$2:$N$251)</f>
        <v>23378.97</v>
      </c>
      <c r="D63" s="97">
        <v>1</v>
      </c>
    </row>
    <row r="64" spans="1:5" x14ac:dyDescent="0.25">
      <c r="A64" s="90" t="s">
        <v>374</v>
      </c>
      <c r="B64" s="92">
        <f>SUMPRODUCT(--(WEEKDAY('Raw Data'!$B$2:$B$251,2)=D64))</f>
        <v>33</v>
      </c>
      <c r="C64" s="91">
        <f>SUMPRODUCT((WEEKDAY('Raw Data'!$B$2:$B$251,2)=D64)*'Raw Data'!$N$2:$N$251)</f>
        <v>35458.990000000013</v>
      </c>
      <c r="D64" s="97">
        <v>2</v>
      </c>
    </row>
    <row r="65" spans="1:4" x14ac:dyDescent="0.25">
      <c r="A65" s="90" t="s">
        <v>375</v>
      </c>
      <c r="B65" s="92">
        <f>SUMPRODUCT(--(WEEKDAY('Raw Data'!$B$2:$B$251,2)=D65))</f>
        <v>33</v>
      </c>
      <c r="C65" s="91">
        <f>SUMPRODUCT((WEEKDAY('Raw Data'!$B$2:$B$251,2)=D65)*'Raw Data'!$N$2:$N$251)</f>
        <v>41528.99</v>
      </c>
      <c r="D65" s="97">
        <v>3</v>
      </c>
    </row>
    <row r="66" spans="1:4" x14ac:dyDescent="0.25">
      <c r="A66" s="90" t="s">
        <v>376</v>
      </c>
      <c r="B66" s="92">
        <f>SUMPRODUCT(--(WEEKDAY('Raw Data'!$B$2:$B$251,2)=D66))</f>
        <v>35</v>
      </c>
      <c r="C66" s="91">
        <f>SUMPRODUCT((WEEKDAY('Raw Data'!$B$2:$B$251,2)=D66)*'Raw Data'!$N$2:$N$251)</f>
        <v>32738.850000000006</v>
      </c>
      <c r="D66" s="97">
        <v>4</v>
      </c>
    </row>
    <row r="67" spans="1:4" x14ac:dyDescent="0.25">
      <c r="A67" s="90" t="s">
        <v>377</v>
      </c>
      <c r="B67" s="92">
        <f>SUMPRODUCT(--(WEEKDAY('Raw Data'!$B$2:$B$251,2)=D67))</f>
        <v>35</v>
      </c>
      <c r="C67" s="91">
        <f>SUMPRODUCT((WEEKDAY('Raw Data'!$B$2:$B$251,2)=D67)*'Raw Data'!$N$2:$N$251)</f>
        <v>32068.95</v>
      </c>
      <c r="D67" s="97">
        <v>5</v>
      </c>
    </row>
    <row r="68" spans="1:4" x14ac:dyDescent="0.25">
      <c r="A68" s="90" t="s">
        <v>378</v>
      </c>
      <c r="B68" s="92">
        <f>SUMPRODUCT(--(WEEKDAY('Raw Data'!$B$2:$B$251,2)=D68))</f>
        <v>29</v>
      </c>
      <c r="C68" s="91">
        <f>SUMPRODUCT((WEEKDAY('Raw Data'!$B$2:$B$251,2)=D68)*'Raw Data'!$N$2:$N$251)</f>
        <v>23329.219999999998</v>
      </c>
      <c r="D68" s="97">
        <v>6</v>
      </c>
    </row>
    <row r="69" spans="1:4" x14ac:dyDescent="0.25">
      <c r="A69" s="90" t="s">
        <v>379</v>
      </c>
      <c r="B69" s="92">
        <f>SUMPRODUCT(--(WEEKDAY('Raw Data'!$B$2:$B$251,2)=D69))</f>
        <v>47</v>
      </c>
      <c r="C69" s="91">
        <f>SUMPRODUCT((WEEKDAY('Raw Data'!$B$2:$B$251,2)=D69)*'Raw Data'!$N$2:$N$251)</f>
        <v>40688.500000000007</v>
      </c>
      <c r="D69" s="97">
        <v>7</v>
      </c>
    </row>
    <row r="72" spans="1:4" ht="15.6" x14ac:dyDescent="0.3">
      <c r="A72" s="88" t="s">
        <v>380</v>
      </c>
    </row>
    <row r="73" spans="1:4" ht="26.4" x14ac:dyDescent="0.25">
      <c r="A73" s="89" t="s">
        <v>26</v>
      </c>
      <c r="B73" s="89" t="s">
        <v>27</v>
      </c>
      <c r="C73" s="89" t="s">
        <v>381</v>
      </c>
    </row>
    <row r="74" spans="1:4" x14ac:dyDescent="0.25">
      <c r="A74" s="95" t="str">
        <f>'Customer Analysis'!C9</f>
        <v>Mark Carter</v>
      </c>
      <c r="B74" s="91">
        <f>'Customer Analysis'!D9</f>
        <v>15659.65</v>
      </c>
      <c r="C74" s="93">
        <f>'Customer Analysis'!G9</f>
        <v>6.8325324998679035E-2</v>
      </c>
    </row>
    <row r="75" spans="1:4" x14ac:dyDescent="0.25">
      <c r="A75" s="95" t="str">
        <f>'Customer Analysis'!C10</f>
        <v>Edward Mitchell</v>
      </c>
      <c r="B75" s="91">
        <f>'Customer Analysis'!D10</f>
        <v>11919.769999999999</v>
      </c>
      <c r="C75" s="93">
        <f>'Customer Analysis'!G10</f>
        <v>0.12033301094054263</v>
      </c>
    </row>
    <row r="76" spans="1:4" x14ac:dyDescent="0.25">
      <c r="A76" s="95" t="str">
        <f>'Customer Analysis'!C11</f>
        <v>Barbara Young</v>
      </c>
      <c r="B76" s="91">
        <f>'Customer Analysis'!D11</f>
        <v>10649.8</v>
      </c>
      <c r="C76" s="93">
        <f>'Customer Analysis'!G11</f>
        <v>0.16679963351326502</v>
      </c>
    </row>
    <row r="77" spans="1:4" x14ac:dyDescent="0.25">
      <c r="A77" s="95" t="str">
        <f>'Customer Analysis'!C12</f>
        <v>Patricia Moore</v>
      </c>
      <c r="B77" s="91">
        <f>'Customer Analysis'!D12</f>
        <v>9799.73</v>
      </c>
      <c r="C77" s="93">
        <f>'Customer Analysis'!G12</f>
        <v>0.20955727733987065</v>
      </c>
    </row>
    <row r="78" spans="1:4" x14ac:dyDescent="0.25">
      <c r="A78" s="95" t="str">
        <f>'Customer Analysis'!C13</f>
        <v>Paul Baker</v>
      </c>
      <c r="B78" s="91">
        <f>'Customer Analysis'!D13</f>
        <v>8309.739999999998</v>
      </c>
      <c r="C78" s="93">
        <f>'Customer Analysis'!G13</f>
        <v>0.24581387861477288</v>
      </c>
    </row>
    <row r="79" spans="1:4" x14ac:dyDescent="0.25">
      <c r="A79" s="95" t="str">
        <f>'Customer Analysis'!C14</f>
        <v>Dorothy Nelson</v>
      </c>
      <c r="B79" s="91">
        <f>'Customer Analysis'!D14</f>
        <v>8269.7900000000009</v>
      </c>
      <c r="C79" s="93">
        <f>'Customer Analysis'!G14</f>
        <v>0.281896172243355</v>
      </c>
    </row>
    <row r="80" spans="1:4" x14ac:dyDescent="0.25">
      <c r="A80" s="95" t="str">
        <f>'Customer Analysis'!C15</f>
        <v>Karen Hill</v>
      </c>
      <c r="B80" s="91">
        <f>'Customer Analysis'!D15</f>
        <v>8009.7699999999995</v>
      </c>
      <c r="C80" s="93">
        <f>'Customer Analysis'!G15</f>
        <v>0.31684396088580036</v>
      </c>
    </row>
    <row r="81" spans="1:5" x14ac:dyDescent="0.25">
      <c r="A81" s="95" t="str">
        <f>'Customer Analysis'!C16</f>
        <v>Daniel King</v>
      </c>
      <c r="B81" s="91">
        <f>'Customer Analysis'!D16</f>
        <v>7309.7999999999993</v>
      </c>
      <c r="C81" s="93">
        <f>'Customer Analysis'!G16</f>
        <v>0.3487376788600427</v>
      </c>
    </row>
    <row r="82" spans="1:5" x14ac:dyDescent="0.25">
      <c r="A82" s="95" t="str">
        <f>'Customer Analysis'!C17</f>
        <v>Lawrence Reed</v>
      </c>
      <c r="B82" s="91">
        <f>'Customer Analysis'!D17</f>
        <v>6989.7699999999986</v>
      </c>
      <c r="C82" s="93">
        <f>'Customer Analysis'!G17</f>
        <v>0.37923505951133546</v>
      </c>
    </row>
    <row r="83" spans="1:5" x14ac:dyDescent="0.25">
      <c r="A83" s="95" t="str">
        <f>'Customer Analysis'!C18</f>
        <v>Joseph Jackson</v>
      </c>
      <c r="B83" s="91">
        <f>'Customer Analysis'!D18</f>
        <v>6949.84</v>
      </c>
      <c r="C83" s="93">
        <f>'Customer Analysis'!G18</f>
        <v>0.40955821977920986</v>
      </c>
    </row>
    <row r="86" spans="1:5" ht="15.6" x14ac:dyDescent="0.3">
      <c r="A86" s="88" t="s">
        <v>382</v>
      </c>
    </row>
    <row r="87" spans="1:5" x14ac:dyDescent="0.25">
      <c r="A87" s="89" t="s">
        <v>32</v>
      </c>
      <c r="B87" s="89" t="s">
        <v>27</v>
      </c>
      <c r="C87" s="89" t="s">
        <v>28</v>
      </c>
      <c r="D87" s="89" t="s">
        <v>58</v>
      </c>
    </row>
    <row r="88" spans="1:5" x14ac:dyDescent="0.25">
      <c r="A88" s="95" t="str">
        <f>'Sales Analysis'!A30</f>
        <v>Basic</v>
      </c>
      <c r="B88" s="91">
        <f>'Sales Analysis'!B30</f>
        <v>62177.810000000019</v>
      </c>
      <c r="C88" s="92">
        <f>'Sales Analysis'!C30</f>
        <v>74</v>
      </c>
      <c r="D88" s="91">
        <f>'Sales Analysis'!E30</f>
        <v>840.2406756756759</v>
      </c>
    </row>
    <row r="89" spans="1:5" x14ac:dyDescent="0.25">
      <c r="A89" s="95" t="str">
        <f>'Sales Analysis'!A31</f>
        <v>Standard</v>
      </c>
      <c r="B89" s="91">
        <f>'Sales Analysis'!B31</f>
        <v>82357.540000000037</v>
      </c>
      <c r="C89" s="92">
        <f>'Sales Analysis'!C31</f>
        <v>81</v>
      </c>
      <c r="D89" s="91">
        <f>'Sales Analysis'!E31</f>
        <v>1016.7597530864202</v>
      </c>
    </row>
    <row r="90" spans="1:5" x14ac:dyDescent="0.25">
      <c r="A90" s="95" t="str">
        <f>'Sales Analysis'!A32</f>
        <v>Premium</v>
      </c>
      <c r="B90" s="91">
        <f>'Sales Analysis'!B32</f>
        <v>84657.12000000001</v>
      </c>
      <c r="C90" s="92">
        <f>'Sales Analysis'!C32</f>
        <v>95</v>
      </c>
      <c r="D90" s="91">
        <f>'Sales Analysis'!E32</f>
        <v>891.12757894736853</v>
      </c>
    </row>
    <row r="93" spans="1:5" ht="15.6" x14ac:dyDescent="0.3">
      <c r="A93" s="88" t="s">
        <v>383</v>
      </c>
    </row>
    <row r="94" spans="1:5" x14ac:dyDescent="0.25">
      <c r="A94" s="89" t="s">
        <v>384</v>
      </c>
      <c r="B94" s="89" t="s">
        <v>57</v>
      </c>
      <c r="D94" s="89" t="s">
        <v>385</v>
      </c>
      <c r="E94" s="89" t="s">
        <v>27</v>
      </c>
    </row>
    <row r="95" spans="1:5" x14ac:dyDescent="0.25">
      <c r="A95" s="95" t="s">
        <v>386</v>
      </c>
      <c r="B95" s="92">
        <f>COUNTIF('Customer Analysis'!$Q$23:$Q$72,"Repeat")</f>
        <v>47</v>
      </c>
      <c r="D95" s="95" t="s">
        <v>387</v>
      </c>
      <c r="E95" s="91">
        <f>SUMIF('Customer Analysis'!$P$23:$P$72,"High-Value",'Customer Analysis'!$G$23:$G$72)</f>
        <v>93867.66</v>
      </c>
    </row>
    <row r="96" spans="1:5" x14ac:dyDescent="0.25">
      <c r="A96" s="95" t="s">
        <v>388</v>
      </c>
      <c r="B96" s="92">
        <f>COUNTIF('Customer Analysis'!$Q$23:$Q$72,"One-time")</f>
        <v>3</v>
      </c>
      <c r="D96" s="95" t="s">
        <v>96</v>
      </c>
      <c r="E96" s="91">
        <f>SUMIF('Customer Analysis'!$P$23:$P$72,"Standard",'Customer Analysis'!$G$23:$G$72)</f>
        <v>135324.81</v>
      </c>
    </row>
    <row r="99" spans="1:5" ht="15.6" x14ac:dyDescent="0.3">
      <c r="A99" s="88" t="s">
        <v>389</v>
      </c>
    </row>
    <row r="100" spans="1:5" x14ac:dyDescent="0.25">
      <c r="A100" s="89" t="s">
        <v>390</v>
      </c>
      <c r="B100" s="89" t="s">
        <v>391</v>
      </c>
      <c r="C100" s="89" t="s">
        <v>392</v>
      </c>
      <c r="D100" s="89" t="s">
        <v>28</v>
      </c>
      <c r="E100" s="89" t="s">
        <v>393</v>
      </c>
    </row>
    <row r="101" spans="1:5" x14ac:dyDescent="0.25">
      <c r="A101" s="90" t="str">
        <f t="shared" ref="A101:A106" si="3">IF(C101&gt;=1000000,TEXT(B101,"$#,##0")&amp;"+",TEXT(B101,"$#,##0")&amp;" - "&amp;TEXT(C101,"$#,##0"))</f>
        <v>$0 - $250</v>
      </c>
      <c r="B101" s="98">
        <v>0</v>
      </c>
      <c r="C101" s="98">
        <v>250</v>
      </c>
      <c r="D101" s="92">
        <f>COUNTIFS('Raw Data'!$N$2:$N$251,"&gt;="&amp;B101,'Raw Data'!$N$2:$N$251,"&lt;"&amp;C101)</f>
        <v>66</v>
      </c>
      <c r="E101" s="93">
        <f t="shared" ref="E101:E106" si="4">D101/$D$107</f>
        <v>0.26400000000000001</v>
      </c>
    </row>
    <row r="102" spans="1:5" x14ac:dyDescent="0.25">
      <c r="A102" s="90" t="str">
        <f t="shared" si="3"/>
        <v>$250 - $500</v>
      </c>
      <c r="B102" s="98">
        <v>250</v>
      </c>
      <c r="C102" s="98">
        <v>500</v>
      </c>
      <c r="D102" s="92">
        <f>COUNTIFS('Raw Data'!$N$2:$N$251,"&gt;="&amp;B102,'Raw Data'!$N$2:$N$251,"&lt;"&amp;C102)</f>
        <v>60</v>
      </c>
      <c r="E102" s="93">
        <f t="shared" si="4"/>
        <v>0.24</v>
      </c>
    </row>
    <row r="103" spans="1:5" x14ac:dyDescent="0.25">
      <c r="A103" s="90" t="str">
        <f t="shared" si="3"/>
        <v>$500 - $1,000</v>
      </c>
      <c r="B103" s="98">
        <v>500</v>
      </c>
      <c r="C103" s="98">
        <v>1000</v>
      </c>
      <c r="D103" s="92">
        <f>COUNTIFS('Raw Data'!$N$2:$N$251,"&gt;="&amp;B103,'Raw Data'!$N$2:$N$251,"&lt;"&amp;C103)</f>
        <v>63</v>
      </c>
      <c r="E103" s="93">
        <f t="shared" si="4"/>
        <v>0.252</v>
      </c>
    </row>
    <row r="104" spans="1:5" x14ac:dyDescent="0.25">
      <c r="A104" s="90" t="str">
        <f t="shared" si="3"/>
        <v>$1,000 - $2,000</v>
      </c>
      <c r="B104" s="98">
        <v>1000</v>
      </c>
      <c r="C104" s="98">
        <v>2000</v>
      </c>
      <c r="D104" s="92">
        <f>COUNTIFS('Raw Data'!$N$2:$N$251,"&gt;="&amp;B104,'Raw Data'!$N$2:$N$251,"&lt;"&amp;C104)</f>
        <v>26</v>
      </c>
      <c r="E104" s="93">
        <f t="shared" si="4"/>
        <v>0.104</v>
      </c>
    </row>
    <row r="105" spans="1:5" x14ac:dyDescent="0.25">
      <c r="A105" s="90" t="str">
        <f t="shared" si="3"/>
        <v>$2,000 - $3,500</v>
      </c>
      <c r="B105" s="98">
        <v>2000</v>
      </c>
      <c r="C105" s="98">
        <v>3500</v>
      </c>
      <c r="D105" s="92">
        <f>COUNTIFS('Raw Data'!$N$2:$N$251,"&gt;="&amp;B105,'Raw Data'!$N$2:$N$251,"&lt;"&amp;C105)</f>
        <v>25</v>
      </c>
      <c r="E105" s="93">
        <f t="shared" si="4"/>
        <v>0.1</v>
      </c>
    </row>
    <row r="106" spans="1:5" x14ac:dyDescent="0.25">
      <c r="A106" s="90" t="str">
        <f t="shared" si="3"/>
        <v>$3,500+</v>
      </c>
      <c r="B106" s="98">
        <v>3500</v>
      </c>
      <c r="C106" s="98">
        <v>1000000</v>
      </c>
      <c r="D106" s="92">
        <f>COUNTIFS('Raw Data'!$N$2:$N$251,"&gt;="&amp;B106,'Raw Data'!$N$2:$N$251,"&lt;"&amp;C106)</f>
        <v>10</v>
      </c>
      <c r="E106" s="93">
        <f t="shared" si="4"/>
        <v>0.04</v>
      </c>
    </row>
    <row r="107" spans="1:5" x14ac:dyDescent="0.25">
      <c r="A107" s="99" t="s">
        <v>87</v>
      </c>
      <c r="D107" s="100">
        <f>SUM(D101:D106)</f>
        <v>250</v>
      </c>
      <c r="E107" s="101">
        <f>SUM(E101:E106)</f>
        <v>1</v>
      </c>
    </row>
    <row r="108" spans="1:5" x14ac:dyDescent="0.25">
      <c r="A108" s="87" t="s">
        <v>394</v>
      </c>
      <c r="D108" s="90" t="str">
        <f>IF(D107=COUNTA('Raw Data'!$A$2:$A$251),"OK","CHECK")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F7F7F"/>
    <pageSetUpPr fitToPage="1"/>
  </sheetPr>
  <dimension ref="A1:V25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9" sqref="E9"/>
    </sheetView>
  </sheetViews>
  <sheetFormatPr defaultColWidth="8.6640625" defaultRowHeight="13.2" x14ac:dyDescent="0.25"/>
  <cols>
    <col min="1" max="1" width="17.21875" customWidth="1"/>
    <col min="2" max="2" width="11.77734375" customWidth="1"/>
    <col min="3" max="3" width="15.44140625" customWidth="1"/>
    <col min="4" max="4" width="20" customWidth="1"/>
    <col min="5" max="5" width="15.21875" customWidth="1"/>
    <col min="6" max="6" width="18.44140625" customWidth="1"/>
    <col min="7" max="7" width="13.44140625" customWidth="1"/>
    <col min="8" max="8" width="12.88671875" customWidth="1"/>
    <col min="9" max="9" width="14.44140625" customWidth="1"/>
    <col min="10" max="10" width="18.33203125" customWidth="1"/>
    <col min="11" max="11" width="11.5546875" customWidth="1"/>
    <col min="12" max="12" width="20" customWidth="1"/>
    <col min="13" max="13" width="17.88671875" customWidth="1"/>
    <col min="14" max="14" width="16.88671875" customWidth="1"/>
    <col min="15" max="15" width="15.33203125" customWidth="1"/>
    <col min="16" max="16" width="18.44140625" customWidth="1"/>
    <col min="17" max="17" width="16.109375" customWidth="1"/>
    <col min="18" max="18" width="17.5546875" customWidth="1"/>
    <col min="19" max="19" width="14.6640625" customWidth="1"/>
    <col min="20" max="20" width="14.21875" customWidth="1"/>
  </cols>
  <sheetData>
    <row r="1" spans="1:22" ht="26.25" customHeight="1" x14ac:dyDescent="0.25">
      <c r="A1" s="22" t="s">
        <v>395</v>
      </c>
      <c r="B1" s="22" t="s">
        <v>289</v>
      </c>
      <c r="C1" s="22" t="s">
        <v>396</v>
      </c>
      <c r="D1" s="22" t="s">
        <v>397</v>
      </c>
      <c r="E1" s="22" t="s">
        <v>398</v>
      </c>
      <c r="F1" s="22" t="s">
        <v>399</v>
      </c>
      <c r="G1" s="22" t="s">
        <v>4</v>
      </c>
      <c r="H1" s="22" t="s">
        <v>354</v>
      </c>
      <c r="I1" s="22" t="s">
        <v>355</v>
      </c>
      <c r="J1" s="22" t="s">
        <v>400</v>
      </c>
      <c r="K1" s="22" t="s">
        <v>2</v>
      </c>
      <c r="L1" s="22" t="s">
        <v>401</v>
      </c>
      <c r="M1" s="22" t="s">
        <v>402</v>
      </c>
      <c r="N1" s="22" t="s">
        <v>403</v>
      </c>
      <c r="O1" s="102" t="s">
        <v>404</v>
      </c>
      <c r="P1" s="102" t="s">
        <v>405</v>
      </c>
      <c r="Q1" s="102" t="s">
        <v>406</v>
      </c>
      <c r="R1" s="102" t="s">
        <v>407</v>
      </c>
      <c r="S1" s="102" t="s">
        <v>408</v>
      </c>
      <c r="T1" s="102" t="s">
        <v>409</v>
      </c>
      <c r="V1" s="30"/>
    </row>
    <row r="2" spans="1:22" x14ac:dyDescent="0.25">
      <c r="A2" t="s">
        <v>410</v>
      </c>
      <c r="B2" s="103">
        <v>45393</v>
      </c>
      <c r="C2" t="s">
        <v>179</v>
      </c>
      <c r="D2" t="s">
        <v>411</v>
      </c>
      <c r="E2" t="s">
        <v>412</v>
      </c>
      <c r="F2" t="s">
        <v>110</v>
      </c>
      <c r="G2" t="s">
        <v>40</v>
      </c>
      <c r="H2">
        <v>3</v>
      </c>
      <c r="I2" s="104">
        <v>249.99</v>
      </c>
      <c r="J2" t="s">
        <v>90</v>
      </c>
      <c r="K2" t="s">
        <v>37</v>
      </c>
      <c r="L2" t="s">
        <v>95</v>
      </c>
      <c r="M2" s="103">
        <v>44425</v>
      </c>
      <c r="N2" s="104">
        <v>749.97</v>
      </c>
      <c r="O2" s="105">
        <f t="shared" ref="O2:O65" si="0">EOMONTH(B2,0)</f>
        <v>45412</v>
      </c>
      <c r="P2" s="106">
        <f t="shared" ref="P2:P65" si="1">DATEDIF(M2,B2,"Y")</f>
        <v>2</v>
      </c>
      <c r="Q2" s="106">
        <f>COUNTIF($D$2:D2,D2)</f>
        <v>1</v>
      </c>
      <c r="R2" s="106" t="str">
        <f t="shared" ref="R2:R65" si="2">IF(COUNTIF($D$2:$D$251,D2)&gt;1,"Repeat","Single")</f>
        <v>Repeat</v>
      </c>
      <c r="S2" s="106" t="str">
        <f t="shared" ref="S2:S65" si="3">IF(ISNUMBER(FIND(" ",F2)),UPPER(LEFT(F2,1)&amp;MID(F2,FIND(" ",F2)+1,1)),UPPER(LEFT(F2,3)))</f>
        <v>MON</v>
      </c>
      <c r="T2" s="106" t="str">
        <f>IF(AND(OR('Filter Demo'!$C$4="All",K2='Filter Demo'!$C$4),OR('Filter Demo'!$C$5="All",G2='Filter Demo'!$C$5),N2&gt;='Filter Demo'!$C$6),MAX($T$1:T1)+1,"")</f>
        <v/>
      </c>
    </row>
    <row r="3" spans="1:22" x14ac:dyDescent="0.25">
      <c r="A3" t="s">
        <v>413</v>
      </c>
      <c r="B3" s="103">
        <v>45396</v>
      </c>
      <c r="C3" t="s">
        <v>169</v>
      </c>
      <c r="D3" t="s">
        <v>414</v>
      </c>
      <c r="E3" t="s">
        <v>412</v>
      </c>
      <c r="F3" t="s">
        <v>110</v>
      </c>
      <c r="G3" t="s">
        <v>40</v>
      </c>
      <c r="H3">
        <v>3</v>
      </c>
      <c r="I3" s="104">
        <v>249.99</v>
      </c>
      <c r="J3" t="s">
        <v>91</v>
      </c>
      <c r="K3" t="s">
        <v>37</v>
      </c>
      <c r="L3" t="s">
        <v>97</v>
      </c>
      <c r="M3" s="103">
        <v>44575</v>
      </c>
      <c r="N3" s="104">
        <v>749.97</v>
      </c>
      <c r="O3" s="105">
        <f t="shared" si="0"/>
        <v>45412</v>
      </c>
      <c r="P3" s="106">
        <f t="shared" si="1"/>
        <v>2</v>
      </c>
      <c r="Q3" s="106">
        <f>COUNTIF($D$2:D3,D3)</f>
        <v>1</v>
      </c>
      <c r="R3" s="106" t="str">
        <f t="shared" si="2"/>
        <v>Repeat</v>
      </c>
      <c r="S3" s="106" t="str">
        <f t="shared" si="3"/>
        <v>MON</v>
      </c>
      <c r="T3" s="106" t="str">
        <f>IF(AND(OR('Filter Demo'!$C$4="All",K3='Filter Demo'!$C$4),OR('Filter Demo'!$C$5="All",G3='Filter Demo'!$C$5),N3&gt;='Filter Demo'!$C$6),MAX($T$1:T2)+1,"")</f>
        <v/>
      </c>
    </row>
    <row r="4" spans="1:22" x14ac:dyDescent="0.25">
      <c r="A4" t="s">
        <v>415</v>
      </c>
      <c r="B4" s="103">
        <v>45399</v>
      </c>
      <c r="C4" t="s">
        <v>177</v>
      </c>
      <c r="D4" t="s">
        <v>416</v>
      </c>
      <c r="E4" t="s">
        <v>417</v>
      </c>
      <c r="F4" t="s">
        <v>106</v>
      </c>
      <c r="G4" t="s">
        <v>38</v>
      </c>
      <c r="H4">
        <v>3</v>
      </c>
      <c r="I4" s="104">
        <v>59.99</v>
      </c>
      <c r="J4" t="s">
        <v>93</v>
      </c>
      <c r="K4" t="s">
        <v>43</v>
      </c>
      <c r="L4" t="s">
        <v>96</v>
      </c>
      <c r="M4" s="103">
        <v>45262</v>
      </c>
      <c r="N4" s="104">
        <v>179.97</v>
      </c>
      <c r="O4" s="105">
        <f t="shared" si="0"/>
        <v>45412</v>
      </c>
      <c r="P4" s="106">
        <f t="shared" si="1"/>
        <v>0</v>
      </c>
      <c r="Q4" s="106">
        <f>COUNTIF($D$2:D4,D4)</f>
        <v>1</v>
      </c>
      <c r="R4" s="106" t="str">
        <f t="shared" si="2"/>
        <v>Repeat</v>
      </c>
      <c r="S4" s="106" t="str">
        <f t="shared" si="3"/>
        <v>BLE</v>
      </c>
      <c r="T4" s="106" t="str">
        <f>IF(AND(OR('Filter Demo'!$C$4="All",K4='Filter Demo'!$C$4),OR('Filter Demo'!$C$5="All",G4='Filter Demo'!$C$5),N4&gt;='Filter Demo'!$C$6),MAX($T$1:T3)+1,"")</f>
        <v/>
      </c>
    </row>
    <row r="5" spans="1:22" x14ac:dyDescent="0.25">
      <c r="A5" t="s">
        <v>418</v>
      </c>
      <c r="B5" s="103">
        <v>45400</v>
      </c>
      <c r="C5" t="s">
        <v>202</v>
      </c>
      <c r="D5" t="s">
        <v>419</v>
      </c>
      <c r="E5" t="s">
        <v>417</v>
      </c>
      <c r="F5" t="s">
        <v>106</v>
      </c>
      <c r="G5" t="s">
        <v>38</v>
      </c>
      <c r="H5">
        <v>3</v>
      </c>
      <c r="I5" s="104">
        <v>59.99</v>
      </c>
      <c r="J5" t="s">
        <v>90</v>
      </c>
      <c r="K5" t="s">
        <v>41</v>
      </c>
      <c r="L5" t="s">
        <v>97</v>
      </c>
      <c r="M5" s="103">
        <v>45114</v>
      </c>
      <c r="N5" s="104">
        <v>179.97</v>
      </c>
      <c r="O5" s="105">
        <f t="shared" si="0"/>
        <v>45412</v>
      </c>
      <c r="P5" s="106">
        <f t="shared" si="1"/>
        <v>0</v>
      </c>
      <c r="Q5" s="106">
        <f>COUNTIF($D$2:D5,D5)</f>
        <v>1</v>
      </c>
      <c r="R5" s="106" t="str">
        <f t="shared" si="2"/>
        <v>Repeat</v>
      </c>
      <c r="S5" s="106" t="str">
        <f t="shared" si="3"/>
        <v>BLE</v>
      </c>
      <c r="T5" s="106" t="str">
        <f>IF(AND(OR('Filter Demo'!$C$4="All",K5='Filter Demo'!$C$4),OR('Filter Demo'!$C$5="All",G5='Filter Demo'!$C$5),N5&gt;='Filter Demo'!$C$6),MAX($T$1:T4)+1,"")</f>
        <v/>
      </c>
    </row>
    <row r="6" spans="1:22" x14ac:dyDescent="0.25">
      <c r="A6" t="s">
        <v>420</v>
      </c>
      <c r="B6" s="103">
        <v>45400</v>
      </c>
      <c r="C6" t="s">
        <v>159</v>
      </c>
      <c r="D6" t="s">
        <v>421</v>
      </c>
      <c r="E6" t="s">
        <v>422</v>
      </c>
      <c r="F6" t="s">
        <v>109</v>
      </c>
      <c r="G6" t="s">
        <v>42</v>
      </c>
      <c r="H6">
        <v>5</v>
      </c>
      <c r="I6" s="104">
        <v>149.99</v>
      </c>
      <c r="J6" t="s">
        <v>91</v>
      </c>
      <c r="K6" t="s">
        <v>41</v>
      </c>
      <c r="L6" t="s">
        <v>97</v>
      </c>
      <c r="M6" s="103">
        <v>45295</v>
      </c>
      <c r="N6" s="104">
        <v>749.95</v>
      </c>
      <c r="O6" s="105">
        <f t="shared" si="0"/>
        <v>45412</v>
      </c>
      <c r="P6" s="106">
        <f t="shared" si="1"/>
        <v>0</v>
      </c>
      <c r="Q6" s="106">
        <f>COUNTIF($D$2:D6,D6)</f>
        <v>1</v>
      </c>
      <c r="R6" s="106" t="str">
        <f t="shared" si="2"/>
        <v>Repeat</v>
      </c>
      <c r="S6" s="106" t="str">
        <f t="shared" si="3"/>
        <v>BOO</v>
      </c>
      <c r="T6" s="106" t="str">
        <f>IF(AND(OR('Filter Demo'!$C$4="All",K6='Filter Demo'!$C$4),OR('Filter Demo'!$C$5="All",G6='Filter Demo'!$C$5),N6&gt;='Filter Demo'!$C$6),MAX($T$1:T5)+1,"")</f>
        <v/>
      </c>
    </row>
    <row r="7" spans="1:22" x14ac:dyDescent="0.25">
      <c r="A7" t="s">
        <v>423</v>
      </c>
      <c r="B7" s="103">
        <v>45403</v>
      </c>
      <c r="C7" t="s">
        <v>180</v>
      </c>
      <c r="D7" t="s">
        <v>424</v>
      </c>
      <c r="E7" t="s">
        <v>417</v>
      </c>
      <c r="F7" t="s">
        <v>106</v>
      </c>
      <c r="G7" t="s">
        <v>38</v>
      </c>
      <c r="H7">
        <v>2</v>
      </c>
      <c r="I7" s="104">
        <v>59.99</v>
      </c>
      <c r="J7" t="s">
        <v>90</v>
      </c>
      <c r="K7" t="s">
        <v>44</v>
      </c>
      <c r="L7" t="s">
        <v>96</v>
      </c>
      <c r="M7" s="103">
        <v>44746</v>
      </c>
      <c r="N7" s="104">
        <v>119.98</v>
      </c>
      <c r="O7" s="105">
        <f t="shared" si="0"/>
        <v>45412</v>
      </c>
      <c r="P7" s="106">
        <f t="shared" si="1"/>
        <v>1</v>
      </c>
      <c r="Q7" s="106">
        <f>COUNTIF($D$2:D7,D7)</f>
        <v>1</v>
      </c>
      <c r="R7" s="106" t="str">
        <f t="shared" si="2"/>
        <v>Repeat</v>
      </c>
      <c r="S7" s="106" t="str">
        <f t="shared" si="3"/>
        <v>BLE</v>
      </c>
      <c r="T7" s="106" t="str">
        <f>IF(AND(OR('Filter Demo'!$C$4="All",K7='Filter Demo'!$C$4),OR('Filter Demo'!$C$5="All",G7='Filter Demo'!$C$5),N7&gt;='Filter Demo'!$C$6),MAX($T$1:T6)+1,"")</f>
        <v/>
      </c>
    </row>
    <row r="8" spans="1:22" x14ac:dyDescent="0.25">
      <c r="A8" t="s">
        <v>425</v>
      </c>
      <c r="B8" s="103">
        <v>45403</v>
      </c>
      <c r="C8" t="s">
        <v>180</v>
      </c>
      <c r="D8" t="s">
        <v>424</v>
      </c>
      <c r="E8" t="s">
        <v>426</v>
      </c>
      <c r="F8" t="s">
        <v>104</v>
      </c>
      <c r="G8" t="s">
        <v>40</v>
      </c>
      <c r="H8">
        <v>5</v>
      </c>
      <c r="I8" s="104">
        <v>149.99</v>
      </c>
      <c r="J8" t="s">
        <v>91</v>
      </c>
      <c r="K8" t="s">
        <v>37</v>
      </c>
      <c r="L8" t="s">
        <v>96</v>
      </c>
      <c r="M8" s="103">
        <v>44418</v>
      </c>
      <c r="N8" s="104">
        <v>749.95</v>
      </c>
      <c r="O8" s="105">
        <f t="shared" si="0"/>
        <v>45412</v>
      </c>
      <c r="P8" s="106">
        <f t="shared" si="1"/>
        <v>2</v>
      </c>
      <c r="Q8" s="106">
        <f>COUNTIF($D$2:D8,D8)</f>
        <v>2</v>
      </c>
      <c r="R8" s="106" t="str">
        <f t="shared" si="2"/>
        <v>Repeat</v>
      </c>
      <c r="S8" s="106" t="str">
        <f t="shared" si="3"/>
        <v>HEA</v>
      </c>
      <c r="T8" s="106" t="str">
        <f>IF(AND(OR('Filter Demo'!$C$4="All",K8='Filter Demo'!$C$4),OR('Filter Demo'!$C$5="All",G8='Filter Demo'!$C$5),N8&gt;='Filter Demo'!$C$6),MAX($T$1:T7)+1,"")</f>
        <v/>
      </c>
    </row>
    <row r="9" spans="1:22" x14ac:dyDescent="0.25">
      <c r="A9" t="s">
        <v>427</v>
      </c>
      <c r="B9" s="103">
        <v>45403</v>
      </c>
      <c r="C9" t="s">
        <v>173</v>
      </c>
      <c r="D9" t="s">
        <v>428</v>
      </c>
      <c r="E9" t="s">
        <v>417</v>
      </c>
      <c r="F9" t="s">
        <v>106</v>
      </c>
      <c r="G9" t="s">
        <v>38</v>
      </c>
      <c r="H9">
        <v>3</v>
      </c>
      <c r="I9" s="104">
        <v>59.99</v>
      </c>
      <c r="J9" t="s">
        <v>92</v>
      </c>
      <c r="K9" t="s">
        <v>43</v>
      </c>
      <c r="L9" t="s">
        <v>95</v>
      </c>
      <c r="M9" s="103">
        <v>45007</v>
      </c>
      <c r="N9" s="104">
        <v>179.97</v>
      </c>
      <c r="O9" s="105">
        <f t="shared" si="0"/>
        <v>45412</v>
      </c>
      <c r="P9" s="106">
        <f t="shared" si="1"/>
        <v>1</v>
      </c>
      <c r="Q9" s="106">
        <f>COUNTIF($D$2:D9,D9)</f>
        <v>1</v>
      </c>
      <c r="R9" s="106" t="str">
        <f t="shared" si="2"/>
        <v>Repeat</v>
      </c>
      <c r="S9" s="106" t="str">
        <f t="shared" si="3"/>
        <v>BLE</v>
      </c>
      <c r="T9" s="106" t="str">
        <f>IF(AND(OR('Filter Demo'!$C$4="All",K9='Filter Demo'!$C$4),OR('Filter Demo'!$C$5="All",G9='Filter Demo'!$C$5),N9&gt;='Filter Demo'!$C$6),MAX($T$1:T8)+1,"")</f>
        <v/>
      </c>
    </row>
    <row r="10" spans="1:22" x14ac:dyDescent="0.25">
      <c r="A10" t="s">
        <v>429</v>
      </c>
      <c r="B10" s="103">
        <v>45405</v>
      </c>
      <c r="C10" t="s">
        <v>165</v>
      </c>
      <c r="D10" t="s">
        <v>430</v>
      </c>
      <c r="E10" t="s">
        <v>431</v>
      </c>
      <c r="F10" t="s">
        <v>102</v>
      </c>
      <c r="G10" t="s">
        <v>40</v>
      </c>
      <c r="H10">
        <v>3</v>
      </c>
      <c r="I10" s="104">
        <v>899.99</v>
      </c>
      <c r="J10" t="s">
        <v>93</v>
      </c>
      <c r="K10" t="s">
        <v>39</v>
      </c>
      <c r="L10" t="s">
        <v>96</v>
      </c>
      <c r="M10" s="103">
        <v>45299</v>
      </c>
      <c r="N10" s="104">
        <v>2699.97</v>
      </c>
      <c r="O10" s="105">
        <f t="shared" si="0"/>
        <v>45412</v>
      </c>
      <c r="P10" s="106">
        <f t="shared" si="1"/>
        <v>0</v>
      </c>
      <c r="Q10" s="106">
        <f>COUNTIF($D$2:D10,D10)</f>
        <v>1</v>
      </c>
      <c r="R10" s="106" t="str">
        <f t="shared" si="2"/>
        <v>Repeat</v>
      </c>
      <c r="S10" s="106" t="str">
        <f t="shared" si="3"/>
        <v>LAP</v>
      </c>
      <c r="T10" s="106">
        <f>IF(AND(OR('Filter Demo'!$C$4="All",K10='Filter Demo'!$C$4),OR('Filter Demo'!$C$5="All",G10='Filter Demo'!$C$5),N10&gt;='Filter Demo'!$C$6),MAX($T$1:T9)+1,"")</f>
        <v>1</v>
      </c>
    </row>
    <row r="11" spans="1:22" x14ac:dyDescent="0.25">
      <c r="A11" t="s">
        <v>432</v>
      </c>
      <c r="B11" s="103">
        <v>45408</v>
      </c>
      <c r="C11" t="s">
        <v>182</v>
      </c>
      <c r="D11" t="s">
        <v>433</v>
      </c>
      <c r="E11" t="s">
        <v>417</v>
      </c>
      <c r="F11" t="s">
        <v>106</v>
      </c>
      <c r="G11" t="s">
        <v>38</v>
      </c>
      <c r="H11">
        <v>3</v>
      </c>
      <c r="I11" s="104">
        <v>59.99</v>
      </c>
      <c r="J11" t="s">
        <v>90</v>
      </c>
      <c r="K11" t="s">
        <v>44</v>
      </c>
      <c r="L11" t="s">
        <v>97</v>
      </c>
      <c r="M11" s="103">
        <v>45207</v>
      </c>
      <c r="N11" s="104">
        <v>179.97</v>
      </c>
      <c r="O11" s="105">
        <f t="shared" si="0"/>
        <v>45412</v>
      </c>
      <c r="P11" s="106">
        <f t="shared" si="1"/>
        <v>0</v>
      </c>
      <c r="Q11" s="106">
        <f>COUNTIF($D$2:D11,D11)</f>
        <v>1</v>
      </c>
      <c r="R11" s="106" t="str">
        <f t="shared" si="2"/>
        <v>Repeat</v>
      </c>
      <c r="S11" s="106" t="str">
        <f t="shared" si="3"/>
        <v>BLE</v>
      </c>
      <c r="T11" s="106" t="str">
        <f>IF(AND(OR('Filter Demo'!$C$4="All",K11='Filter Demo'!$C$4),OR('Filter Demo'!$C$5="All",G11='Filter Demo'!$C$5),N11&gt;='Filter Demo'!$C$6),MAX($T$1:T10)+1,"")</f>
        <v/>
      </c>
    </row>
    <row r="12" spans="1:22" x14ac:dyDescent="0.25">
      <c r="A12" t="s">
        <v>434</v>
      </c>
      <c r="B12" s="103">
        <v>45408</v>
      </c>
      <c r="C12" t="s">
        <v>178</v>
      </c>
      <c r="D12" t="s">
        <v>435</v>
      </c>
      <c r="E12" t="s">
        <v>422</v>
      </c>
      <c r="F12" t="s">
        <v>109</v>
      </c>
      <c r="G12" t="s">
        <v>42</v>
      </c>
      <c r="H12">
        <v>1</v>
      </c>
      <c r="I12" s="104">
        <v>149.99</v>
      </c>
      <c r="J12" t="s">
        <v>91</v>
      </c>
      <c r="K12" t="s">
        <v>44</v>
      </c>
      <c r="L12" t="s">
        <v>96</v>
      </c>
      <c r="M12" s="103">
        <v>45103</v>
      </c>
      <c r="N12" s="104">
        <v>149.99</v>
      </c>
      <c r="O12" s="105">
        <f t="shared" si="0"/>
        <v>45412</v>
      </c>
      <c r="P12" s="106">
        <f t="shared" si="1"/>
        <v>0</v>
      </c>
      <c r="Q12" s="106">
        <f>COUNTIF($D$2:D12,D12)</f>
        <v>1</v>
      </c>
      <c r="R12" s="106" t="str">
        <f t="shared" si="2"/>
        <v>Repeat</v>
      </c>
      <c r="S12" s="106" t="str">
        <f t="shared" si="3"/>
        <v>BOO</v>
      </c>
      <c r="T12" s="106" t="str">
        <f>IF(AND(OR('Filter Demo'!$C$4="All",K12='Filter Demo'!$C$4),OR('Filter Demo'!$C$5="All",G12='Filter Demo'!$C$5),N12&gt;='Filter Demo'!$C$6),MAX($T$1:T11)+1,"")</f>
        <v/>
      </c>
    </row>
    <row r="13" spans="1:22" x14ac:dyDescent="0.25">
      <c r="A13" t="s">
        <v>436</v>
      </c>
      <c r="B13" s="103">
        <v>45408</v>
      </c>
      <c r="C13" t="s">
        <v>202</v>
      </c>
      <c r="D13" t="s">
        <v>419</v>
      </c>
      <c r="E13" t="s">
        <v>422</v>
      </c>
      <c r="F13" t="s">
        <v>109</v>
      </c>
      <c r="G13" t="s">
        <v>42</v>
      </c>
      <c r="H13">
        <v>5</v>
      </c>
      <c r="I13" s="104">
        <v>149.99</v>
      </c>
      <c r="J13" t="s">
        <v>92</v>
      </c>
      <c r="K13" t="s">
        <v>41</v>
      </c>
      <c r="L13" t="s">
        <v>95</v>
      </c>
      <c r="M13" s="103">
        <v>44830</v>
      </c>
      <c r="N13" s="104">
        <v>749.95</v>
      </c>
      <c r="O13" s="105">
        <f t="shared" si="0"/>
        <v>45412</v>
      </c>
      <c r="P13" s="106">
        <f t="shared" si="1"/>
        <v>1</v>
      </c>
      <c r="Q13" s="106">
        <f>COUNTIF($D$2:D13,D13)</f>
        <v>2</v>
      </c>
      <c r="R13" s="106" t="str">
        <f t="shared" si="2"/>
        <v>Repeat</v>
      </c>
      <c r="S13" s="106" t="str">
        <f t="shared" si="3"/>
        <v>BOO</v>
      </c>
      <c r="T13" s="106" t="str">
        <f>IF(AND(OR('Filter Demo'!$C$4="All",K13='Filter Demo'!$C$4),OR('Filter Demo'!$C$5="All",G13='Filter Demo'!$C$5),N13&gt;='Filter Demo'!$C$6),MAX($T$1:T12)+1,"")</f>
        <v/>
      </c>
    </row>
    <row r="14" spans="1:22" x14ac:dyDescent="0.25">
      <c r="A14" t="s">
        <v>437</v>
      </c>
      <c r="B14" s="103">
        <v>45408</v>
      </c>
      <c r="C14" t="s">
        <v>197</v>
      </c>
      <c r="D14" t="s">
        <v>438</v>
      </c>
      <c r="E14" t="s">
        <v>422</v>
      </c>
      <c r="F14" t="s">
        <v>109</v>
      </c>
      <c r="G14" t="s">
        <v>42</v>
      </c>
      <c r="H14">
        <v>3</v>
      </c>
      <c r="I14" s="104">
        <v>149.99</v>
      </c>
      <c r="J14" t="s">
        <v>90</v>
      </c>
      <c r="K14" t="s">
        <v>41</v>
      </c>
      <c r="L14" t="s">
        <v>97</v>
      </c>
      <c r="M14" s="103">
        <v>44806</v>
      </c>
      <c r="N14" s="104">
        <v>449.97</v>
      </c>
      <c r="O14" s="105">
        <f t="shared" si="0"/>
        <v>45412</v>
      </c>
      <c r="P14" s="106">
        <f t="shared" si="1"/>
        <v>1</v>
      </c>
      <c r="Q14" s="106">
        <f>COUNTIF($D$2:D14,D14)</f>
        <v>1</v>
      </c>
      <c r="R14" s="106" t="str">
        <f t="shared" si="2"/>
        <v>Repeat</v>
      </c>
      <c r="S14" s="106" t="str">
        <f t="shared" si="3"/>
        <v>BOO</v>
      </c>
      <c r="T14" s="106" t="str">
        <f>IF(AND(OR('Filter Demo'!$C$4="All",K14='Filter Demo'!$C$4),OR('Filter Demo'!$C$5="All",G14='Filter Demo'!$C$5),N14&gt;='Filter Demo'!$C$6),MAX($T$1:T13)+1,"")</f>
        <v/>
      </c>
    </row>
    <row r="15" spans="1:22" x14ac:dyDescent="0.25">
      <c r="A15" t="s">
        <v>439</v>
      </c>
      <c r="B15" s="103">
        <v>45409</v>
      </c>
      <c r="C15" t="s">
        <v>199</v>
      </c>
      <c r="D15" t="s">
        <v>440</v>
      </c>
      <c r="E15" t="s">
        <v>417</v>
      </c>
      <c r="F15" t="s">
        <v>106</v>
      </c>
      <c r="G15" t="s">
        <v>38</v>
      </c>
      <c r="H15">
        <v>3</v>
      </c>
      <c r="I15" s="104">
        <v>59.99</v>
      </c>
      <c r="J15" t="s">
        <v>91</v>
      </c>
      <c r="K15" t="s">
        <v>41</v>
      </c>
      <c r="L15" t="s">
        <v>96</v>
      </c>
      <c r="M15" s="103">
        <v>45351</v>
      </c>
      <c r="N15" s="104">
        <v>179.97</v>
      </c>
      <c r="O15" s="105">
        <f t="shared" si="0"/>
        <v>45412</v>
      </c>
      <c r="P15" s="106">
        <f t="shared" si="1"/>
        <v>0</v>
      </c>
      <c r="Q15" s="106">
        <f>COUNTIF($D$2:D15,D15)</f>
        <v>1</v>
      </c>
      <c r="R15" s="106" t="str">
        <f t="shared" si="2"/>
        <v>Repeat</v>
      </c>
      <c r="S15" s="106" t="str">
        <f t="shared" si="3"/>
        <v>BLE</v>
      </c>
      <c r="T15" s="106" t="str">
        <f>IF(AND(OR('Filter Demo'!$C$4="All",K15='Filter Demo'!$C$4),OR('Filter Demo'!$C$5="All",G15='Filter Demo'!$C$5),N15&gt;='Filter Demo'!$C$6),MAX($T$1:T14)+1,"")</f>
        <v/>
      </c>
    </row>
    <row r="16" spans="1:22" x14ac:dyDescent="0.25">
      <c r="A16" t="s">
        <v>441</v>
      </c>
      <c r="B16" s="103">
        <v>45409</v>
      </c>
      <c r="C16" t="s">
        <v>194</v>
      </c>
      <c r="D16" t="s">
        <v>442</v>
      </c>
      <c r="E16" t="s">
        <v>443</v>
      </c>
      <c r="F16" t="s">
        <v>103</v>
      </c>
      <c r="G16" t="s">
        <v>40</v>
      </c>
      <c r="H16">
        <v>3</v>
      </c>
      <c r="I16" s="104">
        <v>699.99</v>
      </c>
      <c r="J16" t="s">
        <v>91</v>
      </c>
      <c r="K16" t="s">
        <v>44</v>
      </c>
      <c r="L16" t="s">
        <v>95</v>
      </c>
      <c r="M16" s="103">
        <v>44577</v>
      </c>
      <c r="N16" s="104">
        <v>2099.9699999999998</v>
      </c>
      <c r="O16" s="105">
        <f t="shared" si="0"/>
        <v>45412</v>
      </c>
      <c r="P16" s="106">
        <f t="shared" si="1"/>
        <v>2</v>
      </c>
      <c r="Q16" s="106">
        <f>COUNTIF($D$2:D16,D16)</f>
        <v>1</v>
      </c>
      <c r="R16" s="106" t="str">
        <f t="shared" si="2"/>
        <v>Repeat</v>
      </c>
      <c r="S16" s="106" t="str">
        <f t="shared" si="3"/>
        <v>SMA</v>
      </c>
      <c r="T16" s="106">
        <f>IF(AND(OR('Filter Demo'!$C$4="All",K16='Filter Demo'!$C$4),OR('Filter Demo'!$C$5="All",G16='Filter Demo'!$C$5),N16&gt;='Filter Demo'!$C$6),MAX($T$1:T15)+1,"")</f>
        <v>2</v>
      </c>
    </row>
    <row r="17" spans="1:20" x14ac:dyDescent="0.25">
      <c r="A17" t="s">
        <v>444</v>
      </c>
      <c r="B17" s="103">
        <v>45409</v>
      </c>
      <c r="C17" t="s">
        <v>183</v>
      </c>
      <c r="D17" t="s">
        <v>445</v>
      </c>
      <c r="E17" t="s">
        <v>431</v>
      </c>
      <c r="F17" t="s">
        <v>102</v>
      </c>
      <c r="G17" t="s">
        <v>40</v>
      </c>
      <c r="H17">
        <v>1</v>
      </c>
      <c r="I17" s="104">
        <v>899.99</v>
      </c>
      <c r="J17" t="s">
        <v>92</v>
      </c>
      <c r="K17" t="s">
        <v>41</v>
      </c>
      <c r="L17" t="s">
        <v>96</v>
      </c>
      <c r="M17" s="103">
        <v>44920</v>
      </c>
      <c r="N17" s="104">
        <v>899.99</v>
      </c>
      <c r="O17" s="105">
        <f t="shared" si="0"/>
        <v>45412</v>
      </c>
      <c r="P17" s="106">
        <f t="shared" si="1"/>
        <v>1</v>
      </c>
      <c r="Q17" s="106">
        <f>COUNTIF($D$2:D17,D17)</f>
        <v>1</v>
      </c>
      <c r="R17" s="106" t="str">
        <f t="shared" si="2"/>
        <v>Repeat</v>
      </c>
      <c r="S17" s="106" t="str">
        <f t="shared" si="3"/>
        <v>LAP</v>
      </c>
      <c r="T17" s="106" t="str">
        <f>IF(AND(OR('Filter Demo'!$C$4="All",K17='Filter Demo'!$C$4),OR('Filter Demo'!$C$5="All",G17='Filter Demo'!$C$5),N17&gt;='Filter Demo'!$C$6),MAX($T$1:T16)+1,"")</f>
        <v/>
      </c>
    </row>
    <row r="18" spans="1:20" x14ac:dyDescent="0.25">
      <c r="A18" t="s">
        <v>446</v>
      </c>
      <c r="B18" s="103">
        <v>45410</v>
      </c>
      <c r="C18" t="s">
        <v>181</v>
      </c>
      <c r="D18" t="s">
        <v>447</v>
      </c>
      <c r="E18" t="s">
        <v>422</v>
      </c>
      <c r="F18" t="s">
        <v>109</v>
      </c>
      <c r="G18" t="s">
        <v>42</v>
      </c>
      <c r="H18">
        <v>4</v>
      </c>
      <c r="I18" s="104">
        <v>149.99</v>
      </c>
      <c r="J18" t="s">
        <v>92</v>
      </c>
      <c r="K18" t="s">
        <v>41</v>
      </c>
      <c r="L18" t="s">
        <v>97</v>
      </c>
      <c r="M18" s="103">
        <v>45374</v>
      </c>
      <c r="N18" s="104">
        <v>599.96</v>
      </c>
      <c r="O18" s="105">
        <f t="shared" si="0"/>
        <v>45412</v>
      </c>
      <c r="P18" s="106">
        <f t="shared" si="1"/>
        <v>0</v>
      </c>
      <c r="Q18" s="106">
        <f>COUNTIF($D$2:D18,D18)</f>
        <v>1</v>
      </c>
      <c r="R18" s="106" t="str">
        <f t="shared" si="2"/>
        <v>Repeat</v>
      </c>
      <c r="S18" s="106" t="str">
        <f t="shared" si="3"/>
        <v>BOO</v>
      </c>
      <c r="T18" s="106" t="str">
        <f>IF(AND(OR('Filter Demo'!$C$4="All",K18='Filter Demo'!$C$4),OR('Filter Demo'!$C$5="All",G18='Filter Demo'!$C$5),N18&gt;='Filter Demo'!$C$6),MAX($T$1:T17)+1,"")</f>
        <v/>
      </c>
    </row>
    <row r="19" spans="1:20" x14ac:dyDescent="0.25">
      <c r="A19" t="s">
        <v>448</v>
      </c>
      <c r="B19" s="103">
        <v>45410</v>
      </c>
      <c r="C19" t="s">
        <v>166</v>
      </c>
      <c r="D19" t="s">
        <v>449</v>
      </c>
      <c r="E19" t="s">
        <v>443</v>
      </c>
      <c r="F19" t="s">
        <v>103</v>
      </c>
      <c r="G19" t="s">
        <v>40</v>
      </c>
      <c r="H19">
        <v>2</v>
      </c>
      <c r="I19" s="104">
        <v>699.99</v>
      </c>
      <c r="J19" t="s">
        <v>90</v>
      </c>
      <c r="K19" t="s">
        <v>41</v>
      </c>
      <c r="L19" t="s">
        <v>95</v>
      </c>
      <c r="M19" s="103">
        <v>44781</v>
      </c>
      <c r="N19" s="104">
        <v>1399.98</v>
      </c>
      <c r="O19" s="105">
        <f t="shared" si="0"/>
        <v>45412</v>
      </c>
      <c r="P19" s="106">
        <f t="shared" si="1"/>
        <v>1</v>
      </c>
      <c r="Q19" s="106">
        <f>COUNTIF($D$2:D19,D19)</f>
        <v>1</v>
      </c>
      <c r="R19" s="106" t="str">
        <f t="shared" si="2"/>
        <v>Repeat</v>
      </c>
      <c r="S19" s="106" t="str">
        <f t="shared" si="3"/>
        <v>SMA</v>
      </c>
      <c r="T19" s="106">
        <f>IF(AND(OR('Filter Demo'!$C$4="All",K19='Filter Demo'!$C$4),OR('Filter Demo'!$C$5="All",G19='Filter Demo'!$C$5),N19&gt;='Filter Demo'!$C$6),MAX($T$1:T18)+1,"")</f>
        <v>3</v>
      </c>
    </row>
    <row r="20" spans="1:20" x14ac:dyDescent="0.25">
      <c r="A20" t="s">
        <v>450</v>
      </c>
      <c r="B20" s="103">
        <v>45410</v>
      </c>
      <c r="C20" t="s">
        <v>181</v>
      </c>
      <c r="D20" t="s">
        <v>447</v>
      </c>
      <c r="E20" t="s">
        <v>431</v>
      </c>
      <c r="F20" t="s">
        <v>102</v>
      </c>
      <c r="G20" t="s">
        <v>40</v>
      </c>
      <c r="H20">
        <v>4</v>
      </c>
      <c r="I20" s="104">
        <v>899.99</v>
      </c>
      <c r="J20" t="s">
        <v>91</v>
      </c>
      <c r="K20" t="s">
        <v>44</v>
      </c>
      <c r="L20" t="s">
        <v>96</v>
      </c>
      <c r="M20" s="103">
        <v>45327</v>
      </c>
      <c r="N20" s="104">
        <v>3599.96</v>
      </c>
      <c r="O20" s="105">
        <f t="shared" si="0"/>
        <v>45412</v>
      </c>
      <c r="P20" s="106">
        <f t="shared" si="1"/>
        <v>0</v>
      </c>
      <c r="Q20" s="106">
        <f>COUNTIF($D$2:D20,D20)</f>
        <v>2</v>
      </c>
      <c r="R20" s="106" t="str">
        <f t="shared" si="2"/>
        <v>Repeat</v>
      </c>
      <c r="S20" s="106" t="str">
        <f t="shared" si="3"/>
        <v>LAP</v>
      </c>
      <c r="T20" s="106">
        <f>IF(AND(OR('Filter Demo'!$C$4="All",K20='Filter Demo'!$C$4),OR('Filter Demo'!$C$5="All",G20='Filter Demo'!$C$5),N20&gt;='Filter Demo'!$C$6),MAX($T$1:T19)+1,"")</f>
        <v>4</v>
      </c>
    </row>
    <row r="21" spans="1:20" x14ac:dyDescent="0.25">
      <c r="A21" t="s">
        <v>451</v>
      </c>
      <c r="B21" s="103">
        <v>45410</v>
      </c>
      <c r="C21" t="s">
        <v>204</v>
      </c>
      <c r="D21" t="s">
        <v>452</v>
      </c>
      <c r="E21" t="s">
        <v>412</v>
      </c>
      <c r="F21" t="s">
        <v>110</v>
      </c>
      <c r="G21" t="s">
        <v>40</v>
      </c>
      <c r="H21">
        <v>3</v>
      </c>
      <c r="I21" s="104">
        <v>249.99</v>
      </c>
      <c r="J21" t="s">
        <v>91</v>
      </c>
      <c r="K21" t="s">
        <v>41</v>
      </c>
      <c r="L21" t="s">
        <v>97</v>
      </c>
      <c r="M21" s="103">
        <v>45224</v>
      </c>
      <c r="N21" s="104">
        <v>749.97</v>
      </c>
      <c r="O21" s="105">
        <f t="shared" si="0"/>
        <v>45412</v>
      </c>
      <c r="P21" s="106">
        <f t="shared" si="1"/>
        <v>0</v>
      </c>
      <c r="Q21" s="106">
        <f>COUNTIF($D$2:D21,D21)</f>
        <v>1</v>
      </c>
      <c r="R21" s="106" t="str">
        <f t="shared" si="2"/>
        <v>Repeat</v>
      </c>
      <c r="S21" s="106" t="str">
        <f t="shared" si="3"/>
        <v>MON</v>
      </c>
      <c r="T21" s="106" t="str">
        <f>IF(AND(OR('Filter Demo'!$C$4="All",K21='Filter Demo'!$C$4),OR('Filter Demo'!$C$5="All",G21='Filter Demo'!$C$5),N21&gt;='Filter Demo'!$C$6),MAX($T$1:T20)+1,"")</f>
        <v/>
      </c>
    </row>
    <row r="22" spans="1:20" x14ac:dyDescent="0.25">
      <c r="A22" t="s">
        <v>453</v>
      </c>
      <c r="B22" s="103">
        <v>45412</v>
      </c>
      <c r="C22" t="s">
        <v>174</v>
      </c>
      <c r="D22" t="s">
        <v>454</v>
      </c>
      <c r="E22" t="s">
        <v>443</v>
      </c>
      <c r="F22" t="s">
        <v>103</v>
      </c>
      <c r="G22" t="s">
        <v>40</v>
      </c>
      <c r="H22">
        <v>5</v>
      </c>
      <c r="I22" s="104">
        <v>699.99</v>
      </c>
      <c r="J22" t="s">
        <v>90</v>
      </c>
      <c r="K22" t="s">
        <v>44</v>
      </c>
      <c r="L22" t="s">
        <v>95</v>
      </c>
      <c r="M22" s="103">
        <v>45167</v>
      </c>
      <c r="N22" s="104">
        <v>3499.95</v>
      </c>
      <c r="O22" s="105">
        <f t="shared" si="0"/>
        <v>45412</v>
      </c>
      <c r="P22" s="106">
        <f t="shared" si="1"/>
        <v>0</v>
      </c>
      <c r="Q22" s="106">
        <f>COUNTIF($D$2:D22,D22)</f>
        <v>1</v>
      </c>
      <c r="R22" s="106" t="str">
        <f t="shared" si="2"/>
        <v>Repeat</v>
      </c>
      <c r="S22" s="106" t="str">
        <f t="shared" si="3"/>
        <v>SMA</v>
      </c>
      <c r="T22" s="106">
        <f>IF(AND(OR('Filter Demo'!$C$4="All",K22='Filter Demo'!$C$4),OR('Filter Demo'!$C$5="All",G22='Filter Demo'!$C$5),N22&gt;='Filter Demo'!$C$6),MAX($T$1:T21)+1,"")</f>
        <v>5</v>
      </c>
    </row>
    <row r="23" spans="1:20" x14ac:dyDescent="0.25">
      <c r="A23" t="s">
        <v>455</v>
      </c>
      <c r="B23" s="103">
        <v>45413</v>
      </c>
      <c r="C23" t="s">
        <v>168</v>
      </c>
      <c r="D23" t="s">
        <v>456</v>
      </c>
      <c r="E23" t="s">
        <v>443</v>
      </c>
      <c r="F23" t="s">
        <v>103</v>
      </c>
      <c r="G23" t="s">
        <v>40</v>
      </c>
      <c r="H23">
        <v>4</v>
      </c>
      <c r="I23" s="104">
        <v>699.99</v>
      </c>
      <c r="J23" t="s">
        <v>90</v>
      </c>
      <c r="K23" t="s">
        <v>39</v>
      </c>
      <c r="L23" t="s">
        <v>96</v>
      </c>
      <c r="M23" s="103">
        <v>44409</v>
      </c>
      <c r="N23" s="104">
        <v>2799.96</v>
      </c>
      <c r="O23" s="105">
        <f t="shared" si="0"/>
        <v>45443</v>
      </c>
      <c r="P23" s="106">
        <f t="shared" si="1"/>
        <v>2</v>
      </c>
      <c r="Q23" s="106">
        <f>COUNTIF($D$2:D23,D23)</f>
        <v>1</v>
      </c>
      <c r="R23" s="106" t="str">
        <f t="shared" si="2"/>
        <v>Repeat</v>
      </c>
      <c r="S23" s="106" t="str">
        <f t="shared" si="3"/>
        <v>SMA</v>
      </c>
      <c r="T23" s="106">
        <f>IF(AND(OR('Filter Demo'!$C$4="All",K23='Filter Demo'!$C$4),OR('Filter Demo'!$C$5="All",G23='Filter Demo'!$C$5),N23&gt;='Filter Demo'!$C$6),MAX($T$1:T22)+1,"")</f>
        <v>6</v>
      </c>
    </row>
    <row r="24" spans="1:20" x14ac:dyDescent="0.25">
      <c r="A24" t="s">
        <v>457</v>
      </c>
      <c r="B24" s="103">
        <v>45415</v>
      </c>
      <c r="C24" t="s">
        <v>200</v>
      </c>
      <c r="D24" t="s">
        <v>458</v>
      </c>
      <c r="E24" t="s">
        <v>412</v>
      </c>
      <c r="F24" t="s">
        <v>110</v>
      </c>
      <c r="G24" t="s">
        <v>40</v>
      </c>
      <c r="H24">
        <v>4</v>
      </c>
      <c r="I24" s="104">
        <v>249.99</v>
      </c>
      <c r="J24" t="s">
        <v>93</v>
      </c>
      <c r="K24" t="s">
        <v>41</v>
      </c>
      <c r="L24" t="s">
        <v>96</v>
      </c>
      <c r="M24" s="103">
        <v>44468</v>
      </c>
      <c r="N24" s="104">
        <v>999.96</v>
      </c>
      <c r="O24" s="105">
        <f t="shared" si="0"/>
        <v>45443</v>
      </c>
      <c r="P24" s="106">
        <f t="shared" si="1"/>
        <v>2</v>
      </c>
      <c r="Q24" s="106">
        <f>COUNTIF($D$2:D24,D24)</f>
        <v>1</v>
      </c>
      <c r="R24" s="106" t="str">
        <f t="shared" si="2"/>
        <v>Repeat</v>
      </c>
      <c r="S24" s="106" t="str">
        <f t="shared" si="3"/>
        <v>MON</v>
      </c>
      <c r="T24" s="106" t="str">
        <f>IF(AND(OR('Filter Demo'!$C$4="All",K24='Filter Demo'!$C$4),OR('Filter Demo'!$C$5="All",G24='Filter Demo'!$C$5),N24&gt;='Filter Demo'!$C$6),MAX($T$1:T23)+1,"")</f>
        <v/>
      </c>
    </row>
    <row r="25" spans="1:20" x14ac:dyDescent="0.25">
      <c r="A25" t="s">
        <v>459</v>
      </c>
      <c r="B25" s="103">
        <v>45416</v>
      </c>
      <c r="C25" t="s">
        <v>181</v>
      </c>
      <c r="D25" t="s">
        <v>447</v>
      </c>
      <c r="E25" t="s">
        <v>460</v>
      </c>
      <c r="F25" t="s">
        <v>108</v>
      </c>
      <c r="G25" t="s">
        <v>42</v>
      </c>
      <c r="H25">
        <v>4</v>
      </c>
      <c r="I25" s="104">
        <v>299.99</v>
      </c>
      <c r="J25" t="s">
        <v>90</v>
      </c>
      <c r="K25" t="s">
        <v>44</v>
      </c>
      <c r="L25" t="s">
        <v>97</v>
      </c>
      <c r="M25" s="103">
        <v>44716</v>
      </c>
      <c r="N25" s="104">
        <v>1199.96</v>
      </c>
      <c r="O25" s="105">
        <f t="shared" si="0"/>
        <v>45443</v>
      </c>
      <c r="P25" s="106">
        <f t="shared" si="1"/>
        <v>1</v>
      </c>
      <c r="Q25" s="106">
        <f>COUNTIF($D$2:D25,D25)</f>
        <v>3</v>
      </c>
      <c r="R25" s="106" t="str">
        <f t="shared" si="2"/>
        <v>Repeat</v>
      </c>
      <c r="S25" s="106" t="str">
        <f t="shared" si="3"/>
        <v>DES</v>
      </c>
      <c r="T25" s="106" t="str">
        <f>IF(AND(OR('Filter Demo'!$C$4="All",K25='Filter Demo'!$C$4),OR('Filter Demo'!$C$5="All",G25='Filter Demo'!$C$5),N25&gt;='Filter Demo'!$C$6),MAX($T$1:T24)+1,"")</f>
        <v/>
      </c>
    </row>
    <row r="26" spans="1:20" x14ac:dyDescent="0.25">
      <c r="A26" t="s">
        <v>461</v>
      </c>
      <c r="B26" s="103">
        <v>45422</v>
      </c>
      <c r="C26" t="s">
        <v>192</v>
      </c>
      <c r="D26" t="s">
        <v>462</v>
      </c>
      <c r="E26" t="s">
        <v>412</v>
      </c>
      <c r="F26" t="s">
        <v>110</v>
      </c>
      <c r="G26" t="s">
        <v>40</v>
      </c>
      <c r="H26">
        <v>5</v>
      </c>
      <c r="I26" s="104">
        <v>249.99</v>
      </c>
      <c r="J26" t="s">
        <v>91</v>
      </c>
      <c r="K26" t="s">
        <v>44</v>
      </c>
      <c r="L26" t="s">
        <v>96</v>
      </c>
      <c r="M26" s="103">
        <v>44525</v>
      </c>
      <c r="N26" s="104">
        <v>1249.95</v>
      </c>
      <c r="O26" s="105">
        <f t="shared" si="0"/>
        <v>45443</v>
      </c>
      <c r="P26" s="106">
        <f t="shared" si="1"/>
        <v>2</v>
      </c>
      <c r="Q26" s="106">
        <f>COUNTIF($D$2:D26,D26)</f>
        <v>1</v>
      </c>
      <c r="R26" s="106" t="str">
        <f t="shared" si="2"/>
        <v>Repeat</v>
      </c>
      <c r="S26" s="106" t="str">
        <f t="shared" si="3"/>
        <v>MON</v>
      </c>
      <c r="T26" s="106">
        <f>IF(AND(OR('Filter Demo'!$C$4="All",K26='Filter Demo'!$C$4),OR('Filter Demo'!$C$5="All",G26='Filter Demo'!$C$5),N26&gt;='Filter Demo'!$C$6),MAX($T$1:T25)+1,"")</f>
        <v>7</v>
      </c>
    </row>
    <row r="27" spans="1:20" x14ac:dyDescent="0.25">
      <c r="A27" t="s">
        <v>463</v>
      </c>
      <c r="B27" s="103">
        <v>45424</v>
      </c>
      <c r="C27" t="s">
        <v>178</v>
      </c>
      <c r="D27" t="s">
        <v>435</v>
      </c>
      <c r="E27" t="s">
        <v>460</v>
      </c>
      <c r="F27" t="s">
        <v>108</v>
      </c>
      <c r="G27" t="s">
        <v>42</v>
      </c>
      <c r="H27">
        <v>5</v>
      </c>
      <c r="I27" s="104">
        <v>299.99</v>
      </c>
      <c r="J27" t="s">
        <v>93</v>
      </c>
      <c r="K27" t="s">
        <v>39</v>
      </c>
      <c r="L27" t="s">
        <v>95</v>
      </c>
      <c r="M27" s="103">
        <v>45168</v>
      </c>
      <c r="N27" s="104">
        <v>1499.95</v>
      </c>
      <c r="O27" s="105">
        <f t="shared" si="0"/>
        <v>45443</v>
      </c>
      <c r="P27" s="106">
        <f t="shared" si="1"/>
        <v>0</v>
      </c>
      <c r="Q27" s="106">
        <f>COUNTIF($D$2:D27,D27)</f>
        <v>2</v>
      </c>
      <c r="R27" s="106" t="str">
        <f t="shared" si="2"/>
        <v>Repeat</v>
      </c>
      <c r="S27" s="106" t="str">
        <f t="shared" si="3"/>
        <v>DES</v>
      </c>
      <c r="T27" s="106" t="str">
        <f>IF(AND(OR('Filter Demo'!$C$4="All",K27='Filter Demo'!$C$4),OR('Filter Demo'!$C$5="All",G27='Filter Demo'!$C$5),N27&gt;='Filter Demo'!$C$6),MAX($T$1:T26)+1,"")</f>
        <v/>
      </c>
    </row>
    <row r="28" spans="1:20" x14ac:dyDescent="0.25">
      <c r="A28" t="s">
        <v>464</v>
      </c>
      <c r="B28" s="103">
        <v>45424</v>
      </c>
      <c r="C28" t="s">
        <v>170</v>
      </c>
      <c r="D28" t="s">
        <v>465</v>
      </c>
      <c r="E28" t="s">
        <v>466</v>
      </c>
      <c r="F28" t="s">
        <v>105</v>
      </c>
      <c r="G28" t="s">
        <v>38</v>
      </c>
      <c r="H28">
        <v>3</v>
      </c>
      <c r="I28" s="104">
        <v>79.989999999999995</v>
      </c>
      <c r="J28" t="s">
        <v>93</v>
      </c>
      <c r="K28" t="s">
        <v>39</v>
      </c>
      <c r="L28" t="s">
        <v>97</v>
      </c>
      <c r="M28" s="103">
        <v>45012</v>
      </c>
      <c r="N28" s="104">
        <v>239.97</v>
      </c>
      <c r="O28" s="105">
        <f t="shared" si="0"/>
        <v>45443</v>
      </c>
      <c r="P28" s="106">
        <f t="shared" si="1"/>
        <v>1</v>
      </c>
      <c r="Q28" s="106">
        <f>COUNTIF($D$2:D28,D28)</f>
        <v>1</v>
      </c>
      <c r="R28" s="106" t="str">
        <f t="shared" si="2"/>
        <v>Repeat</v>
      </c>
      <c r="S28" s="106" t="str">
        <f t="shared" si="3"/>
        <v>CM</v>
      </c>
      <c r="T28" s="106" t="str">
        <f>IF(AND(OR('Filter Demo'!$C$4="All",K28='Filter Demo'!$C$4),OR('Filter Demo'!$C$5="All",G28='Filter Demo'!$C$5),N28&gt;='Filter Demo'!$C$6),MAX($T$1:T27)+1,"")</f>
        <v/>
      </c>
    </row>
    <row r="29" spans="1:20" x14ac:dyDescent="0.25">
      <c r="A29" t="s">
        <v>467</v>
      </c>
      <c r="B29" s="103">
        <v>45424</v>
      </c>
      <c r="C29" t="s">
        <v>168</v>
      </c>
      <c r="D29" t="s">
        <v>456</v>
      </c>
      <c r="E29" t="s">
        <v>468</v>
      </c>
      <c r="F29" t="s">
        <v>111</v>
      </c>
      <c r="G29" t="s">
        <v>40</v>
      </c>
      <c r="H29">
        <v>5</v>
      </c>
      <c r="I29" s="104">
        <v>89.99</v>
      </c>
      <c r="J29" t="s">
        <v>90</v>
      </c>
      <c r="K29" t="s">
        <v>41</v>
      </c>
      <c r="L29" t="s">
        <v>97</v>
      </c>
      <c r="M29" s="103">
        <v>44919</v>
      </c>
      <c r="N29" s="104">
        <v>449.95</v>
      </c>
      <c r="O29" s="105">
        <f t="shared" si="0"/>
        <v>45443</v>
      </c>
      <c r="P29" s="106">
        <f t="shared" si="1"/>
        <v>1</v>
      </c>
      <c r="Q29" s="106">
        <f>COUNTIF($D$2:D29,D29)</f>
        <v>2</v>
      </c>
      <c r="R29" s="106" t="str">
        <f t="shared" si="2"/>
        <v>Repeat</v>
      </c>
      <c r="S29" s="106" t="str">
        <f t="shared" si="3"/>
        <v>KEY</v>
      </c>
      <c r="T29" s="106" t="str">
        <f>IF(AND(OR('Filter Demo'!$C$4="All",K29='Filter Demo'!$C$4),OR('Filter Demo'!$C$5="All",G29='Filter Demo'!$C$5),N29&gt;='Filter Demo'!$C$6),MAX($T$1:T28)+1,"")</f>
        <v/>
      </c>
    </row>
    <row r="30" spans="1:20" x14ac:dyDescent="0.25">
      <c r="A30" t="s">
        <v>469</v>
      </c>
      <c r="B30" s="103">
        <v>45425</v>
      </c>
      <c r="C30" t="s">
        <v>186</v>
      </c>
      <c r="D30" t="s">
        <v>470</v>
      </c>
      <c r="E30" t="s">
        <v>417</v>
      </c>
      <c r="F30" t="s">
        <v>106</v>
      </c>
      <c r="G30" t="s">
        <v>38</v>
      </c>
      <c r="H30">
        <v>2</v>
      </c>
      <c r="I30" s="104">
        <v>59.99</v>
      </c>
      <c r="J30" t="s">
        <v>92</v>
      </c>
      <c r="K30" t="s">
        <v>37</v>
      </c>
      <c r="L30" t="s">
        <v>96</v>
      </c>
      <c r="M30" s="103">
        <v>45214</v>
      </c>
      <c r="N30" s="104">
        <v>119.98</v>
      </c>
      <c r="O30" s="105">
        <f t="shared" si="0"/>
        <v>45443</v>
      </c>
      <c r="P30" s="106">
        <f t="shared" si="1"/>
        <v>0</v>
      </c>
      <c r="Q30" s="106">
        <f>COUNTIF($D$2:D30,D30)</f>
        <v>1</v>
      </c>
      <c r="R30" s="106" t="str">
        <f t="shared" si="2"/>
        <v>Repeat</v>
      </c>
      <c r="S30" s="106" t="str">
        <f t="shared" si="3"/>
        <v>BLE</v>
      </c>
      <c r="T30" s="106" t="str">
        <f>IF(AND(OR('Filter Demo'!$C$4="All",K30='Filter Demo'!$C$4),OR('Filter Demo'!$C$5="All",G30='Filter Demo'!$C$5),N30&gt;='Filter Demo'!$C$6),MAX($T$1:T29)+1,"")</f>
        <v/>
      </c>
    </row>
    <row r="31" spans="1:20" x14ac:dyDescent="0.25">
      <c r="A31" t="s">
        <v>471</v>
      </c>
      <c r="B31" s="103">
        <v>45427</v>
      </c>
      <c r="C31" t="s">
        <v>185</v>
      </c>
      <c r="D31" t="s">
        <v>472</v>
      </c>
      <c r="E31" t="s">
        <v>417</v>
      </c>
      <c r="F31" t="s">
        <v>106</v>
      </c>
      <c r="G31" t="s">
        <v>38</v>
      </c>
      <c r="H31">
        <v>4</v>
      </c>
      <c r="I31" s="104">
        <v>59.99</v>
      </c>
      <c r="J31" t="s">
        <v>92</v>
      </c>
      <c r="K31" t="s">
        <v>39</v>
      </c>
      <c r="L31" t="s">
        <v>96</v>
      </c>
      <c r="M31" s="103">
        <v>44867</v>
      </c>
      <c r="N31" s="104">
        <v>239.96</v>
      </c>
      <c r="O31" s="105">
        <f t="shared" si="0"/>
        <v>45443</v>
      </c>
      <c r="P31" s="106">
        <f t="shared" si="1"/>
        <v>1</v>
      </c>
      <c r="Q31" s="106">
        <f>COUNTIF($D$2:D31,D31)</f>
        <v>1</v>
      </c>
      <c r="R31" s="106" t="str">
        <f t="shared" si="2"/>
        <v>Repeat</v>
      </c>
      <c r="S31" s="106" t="str">
        <f t="shared" si="3"/>
        <v>BLE</v>
      </c>
      <c r="T31" s="106" t="str">
        <f>IF(AND(OR('Filter Demo'!$C$4="All",K31='Filter Demo'!$C$4),OR('Filter Demo'!$C$5="All",G31='Filter Demo'!$C$5),N31&gt;='Filter Demo'!$C$6),MAX($T$1:T30)+1,"")</f>
        <v/>
      </c>
    </row>
    <row r="32" spans="1:20" x14ac:dyDescent="0.25">
      <c r="A32" t="s">
        <v>473</v>
      </c>
      <c r="B32" s="103">
        <v>45427</v>
      </c>
      <c r="C32" t="s">
        <v>173</v>
      </c>
      <c r="D32" t="s">
        <v>428</v>
      </c>
      <c r="E32" t="s">
        <v>474</v>
      </c>
      <c r="F32" t="s">
        <v>107</v>
      </c>
      <c r="G32" t="s">
        <v>42</v>
      </c>
      <c r="H32">
        <v>5</v>
      </c>
      <c r="I32" s="104">
        <v>199.99</v>
      </c>
      <c r="J32" t="s">
        <v>90</v>
      </c>
      <c r="K32" t="s">
        <v>43</v>
      </c>
      <c r="L32" t="s">
        <v>96</v>
      </c>
      <c r="M32" s="103">
        <v>44412</v>
      </c>
      <c r="N32" s="104">
        <v>999.95</v>
      </c>
      <c r="O32" s="105">
        <f t="shared" si="0"/>
        <v>45443</v>
      </c>
      <c r="P32" s="106">
        <f t="shared" si="1"/>
        <v>2</v>
      </c>
      <c r="Q32" s="106">
        <f>COUNTIF($D$2:D32,D32)</f>
        <v>2</v>
      </c>
      <c r="R32" s="106" t="str">
        <f t="shared" si="2"/>
        <v>Repeat</v>
      </c>
      <c r="S32" s="106" t="str">
        <f t="shared" si="3"/>
        <v>OC</v>
      </c>
      <c r="T32" s="106" t="str">
        <f>IF(AND(OR('Filter Demo'!$C$4="All",K32='Filter Demo'!$C$4),OR('Filter Demo'!$C$5="All",G32='Filter Demo'!$C$5),N32&gt;='Filter Demo'!$C$6),MAX($T$1:T31)+1,"")</f>
        <v/>
      </c>
    </row>
    <row r="33" spans="1:20" x14ac:dyDescent="0.25">
      <c r="A33" t="s">
        <v>475</v>
      </c>
      <c r="B33" s="103">
        <v>45428</v>
      </c>
      <c r="C33" t="s">
        <v>162</v>
      </c>
      <c r="D33" t="s">
        <v>476</v>
      </c>
      <c r="E33" t="s">
        <v>422</v>
      </c>
      <c r="F33" t="s">
        <v>109</v>
      </c>
      <c r="G33" t="s">
        <v>42</v>
      </c>
      <c r="H33">
        <v>2</v>
      </c>
      <c r="I33" s="104">
        <v>149.99</v>
      </c>
      <c r="J33" t="s">
        <v>91</v>
      </c>
      <c r="K33" t="s">
        <v>44</v>
      </c>
      <c r="L33" t="s">
        <v>95</v>
      </c>
      <c r="M33" s="103">
        <v>44823</v>
      </c>
      <c r="N33" s="104">
        <v>299.98</v>
      </c>
      <c r="O33" s="105">
        <f t="shared" si="0"/>
        <v>45443</v>
      </c>
      <c r="P33" s="106">
        <f t="shared" si="1"/>
        <v>1</v>
      </c>
      <c r="Q33" s="106">
        <f>COUNTIF($D$2:D33,D33)</f>
        <v>1</v>
      </c>
      <c r="R33" s="106" t="str">
        <f t="shared" si="2"/>
        <v>Repeat</v>
      </c>
      <c r="S33" s="106" t="str">
        <f t="shared" si="3"/>
        <v>BOO</v>
      </c>
      <c r="T33" s="106" t="str">
        <f>IF(AND(OR('Filter Demo'!$C$4="All",K33='Filter Demo'!$C$4),OR('Filter Demo'!$C$5="All",G33='Filter Demo'!$C$5),N33&gt;='Filter Demo'!$C$6),MAX($T$1:T32)+1,"")</f>
        <v/>
      </c>
    </row>
    <row r="34" spans="1:20" x14ac:dyDescent="0.25">
      <c r="A34" t="s">
        <v>477</v>
      </c>
      <c r="B34" s="103">
        <v>45430</v>
      </c>
      <c r="C34" t="s">
        <v>158</v>
      </c>
      <c r="D34" t="s">
        <v>478</v>
      </c>
      <c r="E34" t="s">
        <v>422</v>
      </c>
      <c r="F34" t="s">
        <v>109</v>
      </c>
      <c r="G34" t="s">
        <v>42</v>
      </c>
      <c r="H34">
        <v>3</v>
      </c>
      <c r="I34" s="104">
        <v>149.99</v>
      </c>
      <c r="J34" t="s">
        <v>91</v>
      </c>
      <c r="K34" t="s">
        <v>44</v>
      </c>
      <c r="L34" t="s">
        <v>97</v>
      </c>
      <c r="M34" s="103">
        <v>45068</v>
      </c>
      <c r="N34" s="104">
        <v>449.97</v>
      </c>
      <c r="O34" s="105">
        <f t="shared" si="0"/>
        <v>45443</v>
      </c>
      <c r="P34" s="106">
        <f t="shared" si="1"/>
        <v>0</v>
      </c>
      <c r="Q34" s="106">
        <f>COUNTIF($D$2:D34,D34)</f>
        <v>1</v>
      </c>
      <c r="R34" s="106" t="str">
        <f t="shared" si="2"/>
        <v>Repeat</v>
      </c>
      <c r="S34" s="106" t="str">
        <f t="shared" si="3"/>
        <v>BOO</v>
      </c>
      <c r="T34" s="106" t="str">
        <f>IF(AND(OR('Filter Demo'!$C$4="All",K34='Filter Demo'!$C$4),OR('Filter Demo'!$C$5="All",G34='Filter Demo'!$C$5),N34&gt;='Filter Demo'!$C$6),MAX($T$1:T33)+1,"")</f>
        <v/>
      </c>
    </row>
    <row r="35" spans="1:20" x14ac:dyDescent="0.25">
      <c r="A35" t="s">
        <v>479</v>
      </c>
      <c r="B35" s="103">
        <v>45432</v>
      </c>
      <c r="C35" t="s">
        <v>177</v>
      </c>
      <c r="D35" t="s">
        <v>416</v>
      </c>
      <c r="E35" t="s">
        <v>431</v>
      </c>
      <c r="F35" t="s">
        <v>102</v>
      </c>
      <c r="G35" t="s">
        <v>40</v>
      </c>
      <c r="H35">
        <v>1</v>
      </c>
      <c r="I35" s="104">
        <v>899.99</v>
      </c>
      <c r="J35" t="s">
        <v>91</v>
      </c>
      <c r="K35" t="s">
        <v>44</v>
      </c>
      <c r="L35" t="s">
        <v>97</v>
      </c>
      <c r="M35" s="103">
        <v>44578</v>
      </c>
      <c r="N35" s="104">
        <v>899.99</v>
      </c>
      <c r="O35" s="105">
        <f t="shared" si="0"/>
        <v>45443</v>
      </c>
      <c r="P35" s="106">
        <f t="shared" si="1"/>
        <v>2</v>
      </c>
      <c r="Q35" s="106">
        <f>COUNTIF($D$2:D35,D35)</f>
        <v>2</v>
      </c>
      <c r="R35" s="106" t="str">
        <f t="shared" si="2"/>
        <v>Repeat</v>
      </c>
      <c r="S35" s="106" t="str">
        <f t="shared" si="3"/>
        <v>LAP</v>
      </c>
      <c r="T35" s="106" t="str">
        <f>IF(AND(OR('Filter Demo'!$C$4="All",K35='Filter Demo'!$C$4),OR('Filter Demo'!$C$5="All",G35='Filter Demo'!$C$5),N35&gt;='Filter Demo'!$C$6),MAX($T$1:T34)+1,"")</f>
        <v/>
      </c>
    </row>
    <row r="36" spans="1:20" x14ac:dyDescent="0.25">
      <c r="A36" t="s">
        <v>480</v>
      </c>
      <c r="B36" s="103">
        <v>45434</v>
      </c>
      <c r="C36" t="s">
        <v>168</v>
      </c>
      <c r="D36" t="s">
        <v>456</v>
      </c>
      <c r="E36" t="s">
        <v>460</v>
      </c>
      <c r="F36" t="s">
        <v>108</v>
      </c>
      <c r="G36" t="s">
        <v>42</v>
      </c>
      <c r="H36">
        <v>3</v>
      </c>
      <c r="I36" s="104">
        <v>299.99</v>
      </c>
      <c r="J36" t="s">
        <v>91</v>
      </c>
      <c r="K36" t="s">
        <v>39</v>
      </c>
      <c r="L36" t="s">
        <v>95</v>
      </c>
      <c r="M36" s="103">
        <v>44824</v>
      </c>
      <c r="N36" s="104">
        <v>899.97</v>
      </c>
      <c r="O36" s="105">
        <f t="shared" si="0"/>
        <v>45443</v>
      </c>
      <c r="P36" s="106">
        <f t="shared" si="1"/>
        <v>1</v>
      </c>
      <c r="Q36" s="106">
        <f>COUNTIF($D$2:D36,D36)</f>
        <v>3</v>
      </c>
      <c r="R36" s="106" t="str">
        <f t="shared" si="2"/>
        <v>Repeat</v>
      </c>
      <c r="S36" s="106" t="str">
        <f t="shared" si="3"/>
        <v>DES</v>
      </c>
      <c r="T36" s="106" t="str">
        <f>IF(AND(OR('Filter Demo'!$C$4="All",K36='Filter Demo'!$C$4),OR('Filter Demo'!$C$5="All",G36='Filter Demo'!$C$5),N36&gt;='Filter Demo'!$C$6),MAX($T$1:T35)+1,"")</f>
        <v/>
      </c>
    </row>
    <row r="37" spans="1:20" x14ac:dyDescent="0.25">
      <c r="A37" t="s">
        <v>481</v>
      </c>
      <c r="B37" s="103">
        <v>45435</v>
      </c>
      <c r="C37" t="s">
        <v>162</v>
      </c>
      <c r="D37" t="s">
        <v>476</v>
      </c>
      <c r="E37" t="s">
        <v>466</v>
      </c>
      <c r="F37" t="s">
        <v>105</v>
      </c>
      <c r="G37" t="s">
        <v>38</v>
      </c>
      <c r="H37">
        <v>3</v>
      </c>
      <c r="I37" s="104">
        <v>79.989999999999995</v>
      </c>
      <c r="J37" t="s">
        <v>90</v>
      </c>
      <c r="K37" t="s">
        <v>43</v>
      </c>
      <c r="L37" t="s">
        <v>95</v>
      </c>
      <c r="M37" s="103">
        <v>45046</v>
      </c>
      <c r="N37" s="104">
        <v>239.97</v>
      </c>
      <c r="O37" s="105">
        <f t="shared" si="0"/>
        <v>45443</v>
      </c>
      <c r="P37" s="106">
        <f t="shared" si="1"/>
        <v>1</v>
      </c>
      <c r="Q37" s="106">
        <f>COUNTIF($D$2:D37,D37)</f>
        <v>2</v>
      </c>
      <c r="R37" s="106" t="str">
        <f t="shared" si="2"/>
        <v>Repeat</v>
      </c>
      <c r="S37" s="106" t="str">
        <f t="shared" si="3"/>
        <v>CM</v>
      </c>
      <c r="T37" s="106" t="str">
        <f>IF(AND(OR('Filter Demo'!$C$4="All",K37='Filter Demo'!$C$4),OR('Filter Demo'!$C$5="All",G37='Filter Demo'!$C$5),N37&gt;='Filter Demo'!$C$6),MAX($T$1:T36)+1,"")</f>
        <v/>
      </c>
    </row>
    <row r="38" spans="1:20" x14ac:dyDescent="0.25">
      <c r="A38" t="s">
        <v>482</v>
      </c>
      <c r="B38" s="103">
        <v>45438</v>
      </c>
      <c r="C38" t="s">
        <v>187</v>
      </c>
      <c r="D38" t="s">
        <v>483</v>
      </c>
      <c r="E38" t="s">
        <v>474</v>
      </c>
      <c r="F38" t="s">
        <v>107</v>
      </c>
      <c r="G38" t="s">
        <v>42</v>
      </c>
      <c r="H38">
        <v>3</v>
      </c>
      <c r="I38" s="104">
        <v>199.99</v>
      </c>
      <c r="J38" t="s">
        <v>91</v>
      </c>
      <c r="K38" t="s">
        <v>41</v>
      </c>
      <c r="L38" t="s">
        <v>97</v>
      </c>
      <c r="M38" s="103">
        <v>45292</v>
      </c>
      <c r="N38" s="104">
        <v>599.97</v>
      </c>
      <c r="O38" s="105">
        <f t="shared" si="0"/>
        <v>45443</v>
      </c>
      <c r="P38" s="106">
        <f t="shared" si="1"/>
        <v>0</v>
      </c>
      <c r="Q38" s="106">
        <f>COUNTIF($D$2:D38,D38)</f>
        <v>1</v>
      </c>
      <c r="R38" s="106" t="str">
        <f t="shared" si="2"/>
        <v>Repeat</v>
      </c>
      <c r="S38" s="106" t="str">
        <f t="shared" si="3"/>
        <v>OC</v>
      </c>
      <c r="T38" s="106" t="str">
        <f>IF(AND(OR('Filter Demo'!$C$4="All",K38='Filter Demo'!$C$4),OR('Filter Demo'!$C$5="All",G38='Filter Demo'!$C$5),N38&gt;='Filter Demo'!$C$6),MAX($T$1:T37)+1,"")</f>
        <v/>
      </c>
    </row>
    <row r="39" spans="1:20" x14ac:dyDescent="0.25">
      <c r="A39" t="s">
        <v>484</v>
      </c>
      <c r="B39" s="103">
        <v>45440</v>
      </c>
      <c r="C39" t="s">
        <v>164</v>
      </c>
      <c r="D39" t="s">
        <v>485</v>
      </c>
      <c r="E39" t="s">
        <v>443</v>
      </c>
      <c r="F39" t="s">
        <v>103</v>
      </c>
      <c r="G39" t="s">
        <v>40</v>
      </c>
      <c r="H39">
        <v>5</v>
      </c>
      <c r="I39" s="104">
        <v>699.99</v>
      </c>
      <c r="J39" t="s">
        <v>93</v>
      </c>
      <c r="K39" t="s">
        <v>44</v>
      </c>
      <c r="L39" t="s">
        <v>96</v>
      </c>
      <c r="M39" s="103">
        <v>44407</v>
      </c>
      <c r="N39" s="104">
        <v>3499.95</v>
      </c>
      <c r="O39" s="105">
        <f t="shared" si="0"/>
        <v>45443</v>
      </c>
      <c r="P39" s="106">
        <f t="shared" si="1"/>
        <v>2</v>
      </c>
      <c r="Q39" s="106">
        <f>COUNTIF($D$2:D39,D39)</f>
        <v>1</v>
      </c>
      <c r="R39" s="106" t="str">
        <f t="shared" si="2"/>
        <v>Repeat</v>
      </c>
      <c r="S39" s="106" t="str">
        <f t="shared" si="3"/>
        <v>SMA</v>
      </c>
      <c r="T39" s="106">
        <f>IF(AND(OR('Filter Demo'!$C$4="All",K39='Filter Demo'!$C$4),OR('Filter Demo'!$C$5="All",G39='Filter Demo'!$C$5),N39&gt;='Filter Demo'!$C$6),MAX($T$1:T38)+1,"")</f>
        <v>8</v>
      </c>
    </row>
    <row r="40" spans="1:20" x14ac:dyDescent="0.25">
      <c r="A40" t="s">
        <v>486</v>
      </c>
      <c r="B40" s="103">
        <v>45441</v>
      </c>
      <c r="C40" t="s">
        <v>191</v>
      </c>
      <c r="D40" t="s">
        <v>487</v>
      </c>
      <c r="E40" t="s">
        <v>468</v>
      </c>
      <c r="F40" t="s">
        <v>111</v>
      </c>
      <c r="G40" t="s">
        <v>40</v>
      </c>
      <c r="H40">
        <v>3</v>
      </c>
      <c r="I40" s="104">
        <v>89.99</v>
      </c>
      <c r="J40" t="s">
        <v>93</v>
      </c>
      <c r="K40" t="s">
        <v>37</v>
      </c>
      <c r="L40" t="s">
        <v>97</v>
      </c>
      <c r="M40" s="103">
        <v>45120</v>
      </c>
      <c r="N40" s="104">
        <v>269.97000000000003</v>
      </c>
      <c r="O40" s="105">
        <f t="shared" si="0"/>
        <v>45443</v>
      </c>
      <c r="P40" s="106">
        <f t="shared" si="1"/>
        <v>0</v>
      </c>
      <c r="Q40" s="106">
        <f>COUNTIF($D$2:D40,D40)</f>
        <v>1</v>
      </c>
      <c r="R40" s="106" t="str">
        <f t="shared" si="2"/>
        <v>Repeat</v>
      </c>
      <c r="S40" s="106" t="str">
        <f t="shared" si="3"/>
        <v>KEY</v>
      </c>
      <c r="T40" s="106" t="str">
        <f>IF(AND(OR('Filter Demo'!$C$4="All",K40='Filter Demo'!$C$4),OR('Filter Demo'!$C$5="All",G40='Filter Demo'!$C$5),N40&gt;='Filter Demo'!$C$6),MAX($T$1:T39)+1,"")</f>
        <v/>
      </c>
    </row>
    <row r="41" spans="1:20" x14ac:dyDescent="0.25">
      <c r="A41" t="s">
        <v>488</v>
      </c>
      <c r="B41" s="103">
        <v>45443</v>
      </c>
      <c r="C41" t="s">
        <v>175</v>
      </c>
      <c r="D41" t="s">
        <v>489</v>
      </c>
      <c r="E41" t="s">
        <v>466</v>
      </c>
      <c r="F41" t="s">
        <v>105</v>
      </c>
      <c r="G41" t="s">
        <v>38</v>
      </c>
      <c r="H41">
        <v>1</v>
      </c>
      <c r="I41" s="104">
        <v>79.989999999999995</v>
      </c>
      <c r="J41" t="s">
        <v>90</v>
      </c>
      <c r="K41" t="s">
        <v>41</v>
      </c>
      <c r="L41" t="s">
        <v>96</v>
      </c>
      <c r="M41" s="103">
        <v>44917</v>
      </c>
      <c r="N41" s="104">
        <v>79.989999999999995</v>
      </c>
      <c r="O41" s="105">
        <f t="shared" si="0"/>
        <v>45443</v>
      </c>
      <c r="P41" s="106">
        <f t="shared" si="1"/>
        <v>1</v>
      </c>
      <c r="Q41" s="106">
        <f>COUNTIF($D$2:D41,D41)</f>
        <v>1</v>
      </c>
      <c r="R41" s="106" t="str">
        <f t="shared" si="2"/>
        <v>Repeat</v>
      </c>
      <c r="S41" s="106" t="str">
        <f t="shared" si="3"/>
        <v>CM</v>
      </c>
      <c r="T41" s="106" t="str">
        <f>IF(AND(OR('Filter Demo'!$C$4="All",K41='Filter Demo'!$C$4),OR('Filter Demo'!$C$5="All",G41='Filter Demo'!$C$5),N41&gt;='Filter Demo'!$C$6),MAX($T$1:T40)+1,"")</f>
        <v/>
      </c>
    </row>
    <row r="42" spans="1:20" x14ac:dyDescent="0.25">
      <c r="A42" t="s">
        <v>490</v>
      </c>
      <c r="B42" s="103">
        <v>45444</v>
      </c>
      <c r="C42" t="s">
        <v>196</v>
      </c>
      <c r="D42" t="s">
        <v>491</v>
      </c>
      <c r="E42" t="s">
        <v>417</v>
      </c>
      <c r="F42" t="s">
        <v>106</v>
      </c>
      <c r="G42" t="s">
        <v>38</v>
      </c>
      <c r="H42">
        <v>2</v>
      </c>
      <c r="I42" s="104">
        <v>59.99</v>
      </c>
      <c r="J42" t="s">
        <v>90</v>
      </c>
      <c r="K42" t="s">
        <v>44</v>
      </c>
      <c r="L42" t="s">
        <v>95</v>
      </c>
      <c r="M42" s="103">
        <v>45390</v>
      </c>
      <c r="N42" s="104">
        <v>119.98</v>
      </c>
      <c r="O42" s="105">
        <f t="shared" si="0"/>
        <v>45473</v>
      </c>
      <c r="P42" s="106">
        <f t="shared" si="1"/>
        <v>0</v>
      </c>
      <c r="Q42" s="106">
        <f>COUNTIF($D$2:D42,D42)</f>
        <v>1</v>
      </c>
      <c r="R42" s="106" t="str">
        <f t="shared" si="2"/>
        <v>Repeat</v>
      </c>
      <c r="S42" s="106" t="str">
        <f t="shared" si="3"/>
        <v>BLE</v>
      </c>
      <c r="T42" s="106" t="str">
        <f>IF(AND(OR('Filter Demo'!$C$4="All",K42='Filter Demo'!$C$4),OR('Filter Demo'!$C$5="All",G42='Filter Demo'!$C$5),N42&gt;='Filter Demo'!$C$6),MAX($T$1:T41)+1,"")</f>
        <v/>
      </c>
    </row>
    <row r="43" spans="1:20" x14ac:dyDescent="0.25">
      <c r="A43" t="s">
        <v>492</v>
      </c>
      <c r="B43" s="103">
        <v>45444</v>
      </c>
      <c r="C43" t="s">
        <v>173</v>
      </c>
      <c r="D43" t="s">
        <v>428</v>
      </c>
      <c r="E43" t="s">
        <v>468</v>
      </c>
      <c r="F43" t="s">
        <v>111</v>
      </c>
      <c r="G43" t="s">
        <v>40</v>
      </c>
      <c r="H43">
        <v>1</v>
      </c>
      <c r="I43" s="104">
        <v>89.99</v>
      </c>
      <c r="J43" t="s">
        <v>90</v>
      </c>
      <c r="K43" t="s">
        <v>41</v>
      </c>
      <c r="L43" t="s">
        <v>95</v>
      </c>
      <c r="M43" s="103">
        <v>45141</v>
      </c>
      <c r="N43" s="104">
        <v>89.99</v>
      </c>
      <c r="O43" s="105">
        <f t="shared" si="0"/>
        <v>45473</v>
      </c>
      <c r="P43" s="106">
        <f t="shared" si="1"/>
        <v>0</v>
      </c>
      <c r="Q43" s="106">
        <f>COUNTIF($D$2:D43,D43)</f>
        <v>3</v>
      </c>
      <c r="R43" s="106" t="str">
        <f t="shared" si="2"/>
        <v>Repeat</v>
      </c>
      <c r="S43" s="106" t="str">
        <f t="shared" si="3"/>
        <v>KEY</v>
      </c>
      <c r="T43" s="106" t="str">
        <f>IF(AND(OR('Filter Demo'!$C$4="All",K43='Filter Demo'!$C$4),OR('Filter Demo'!$C$5="All",G43='Filter Demo'!$C$5),N43&gt;='Filter Demo'!$C$6),MAX($T$1:T42)+1,"")</f>
        <v/>
      </c>
    </row>
    <row r="44" spans="1:20" x14ac:dyDescent="0.25">
      <c r="A44" t="s">
        <v>493</v>
      </c>
      <c r="B44" s="103">
        <v>45446</v>
      </c>
      <c r="C44" t="s">
        <v>160</v>
      </c>
      <c r="D44" t="s">
        <v>494</v>
      </c>
      <c r="E44" t="s">
        <v>468</v>
      </c>
      <c r="F44" t="s">
        <v>111</v>
      </c>
      <c r="G44" t="s">
        <v>40</v>
      </c>
      <c r="H44">
        <v>5</v>
      </c>
      <c r="I44" s="104">
        <v>89.99</v>
      </c>
      <c r="J44" t="s">
        <v>91</v>
      </c>
      <c r="K44" t="s">
        <v>39</v>
      </c>
      <c r="L44" t="s">
        <v>96</v>
      </c>
      <c r="M44" s="103">
        <v>44587</v>
      </c>
      <c r="N44" s="104">
        <v>449.95</v>
      </c>
      <c r="O44" s="105">
        <f t="shared" si="0"/>
        <v>45473</v>
      </c>
      <c r="P44" s="106">
        <f t="shared" si="1"/>
        <v>2</v>
      </c>
      <c r="Q44" s="106">
        <f>COUNTIF($D$2:D44,D44)</f>
        <v>1</v>
      </c>
      <c r="R44" s="106" t="str">
        <f t="shared" si="2"/>
        <v>Repeat</v>
      </c>
      <c r="S44" s="106" t="str">
        <f t="shared" si="3"/>
        <v>KEY</v>
      </c>
      <c r="T44" s="106" t="str">
        <f>IF(AND(OR('Filter Demo'!$C$4="All",K44='Filter Demo'!$C$4),OR('Filter Demo'!$C$5="All",G44='Filter Demo'!$C$5),N44&gt;='Filter Demo'!$C$6),MAX($T$1:T43)+1,"")</f>
        <v/>
      </c>
    </row>
    <row r="45" spans="1:20" x14ac:dyDescent="0.25">
      <c r="A45" t="s">
        <v>495</v>
      </c>
      <c r="B45" s="103">
        <v>45449</v>
      </c>
      <c r="C45" t="s">
        <v>169</v>
      </c>
      <c r="D45" t="s">
        <v>414</v>
      </c>
      <c r="E45" t="s">
        <v>412</v>
      </c>
      <c r="F45" t="s">
        <v>110</v>
      </c>
      <c r="G45" t="s">
        <v>40</v>
      </c>
      <c r="H45">
        <v>5</v>
      </c>
      <c r="I45" s="104">
        <v>249.99</v>
      </c>
      <c r="J45" t="s">
        <v>91</v>
      </c>
      <c r="K45" t="s">
        <v>39</v>
      </c>
      <c r="L45" t="s">
        <v>96</v>
      </c>
      <c r="M45" s="103">
        <v>44707</v>
      </c>
      <c r="N45" s="104">
        <v>1249.95</v>
      </c>
      <c r="O45" s="105">
        <f t="shared" si="0"/>
        <v>45473</v>
      </c>
      <c r="P45" s="106">
        <f t="shared" si="1"/>
        <v>2</v>
      </c>
      <c r="Q45" s="106">
        <f>COUNTIF($D$2:D45,D45)</f>
        <v>2</v>
      </c>
      <c r="R45" s="106" t="str">
        <f t="shared" si="2"/>
        <v>Repeat</v>
      </c>
      <c r="S45" s="106" t="str">
        <f t="shared" si="3"/>
        <v>MON</v>
      </c>
      <c r="T45" s="106">
        <f>IF(AND(OR('Filter Demo'!$C$4="All",K45='Filter Demo'!$C$4),OR('Filter Demo'!$C$5="All",G45='Filter Demo'!$C$5),N45&gt;='Filter Demo'!$C$6),MAX($T$1:T44)+1,"")</f>
        <v>9</v>
      </c>
    </row>
    <row r="46" spans="1:20" x14ac:dyDescent="0.25">
      <c r="A46" t="s">
        <v>496</v>
      </c>
      <c r="B46" s="103">
        <v>45449</v>
      </c>
      <c r="C46" t="s">
        <v>184</v>
      </c>
      <c r="D46" t="s">
        <v>497</v>
      </c>
      <c r="E46" t="s">
        <v>468</v>
      </c>
      <c r="F46" t="s">
        <v>111</v>
      </c>
      <c r="G46" t="s">
        <v>40</v>
      </c>
      <c r="H46">
        <v>1</v>
      </c>
      <c r="I46" s="104">
        <v>89.99</v>
      </c>
      <c r="J46" t="s">
        <v>91</v>
      </c>
      <c r="K46" t="s">
        <v>43</v>
      </c>
      <c r="L46" t="s">
        <v>96</v>
      </c>
      <c r="M46" s="103">
        <v>44582</v>
      </c>
      <c r="N46" s="104">
        <v>89.99</v>
      </c>
      <c r="O46" s="105">
        <f t="shared" si="0"/>
        <v>45473</v>
      </c>
      <c r="P46" s="106">
        <f t="shared" si="1"/>
        <v>2</v>
      </c>
      <c r="Q46" s="106">
        <f>COUNTIF($D$2:D46,D46)</f>
        <v>1</v>
      </c>
      <c r="R46" s="106" t="str">
        <f t="shared" si="2"/>
        <v>Repeat</v>
      </c>
      <c r="S46" s="106" t="str">
        <f t="shared" si="3"/>
        <v>KEY</v>
      </c>
      <c r="T46" s="106" t="str">
        <f>IF(AND(OR('Filter Demo'!$C$4="All",K46='Filter Demo'!$C$4),OR('Filter Demo'!$C$5="All",G46='Filter Demo'!$C$5),N46&gt;='Filter Demo'!$C$6),MAX($T$1:T45)+1,"")</f>
        <v/>
      </c>
    </row>
    <row r="47" spans="1:20" x14ac:dyDescent="0.25">
      <c r="A47" t="s">
        <v>498</v>
      </c>
      <c r="B47" s="103">
        <v>45450</v>
      </c>
      <c r="C47" t="s">
        <v>159</v>
      </c>
      <c r="D47" t="s">
        <v>421</v>
      </c>
      <c r="E47" t="s">
        <v>422</v>
      </c>
      <c r="F47" t="s">
        <v>109</v>
      </c>
      <c r="G47" t="s">
        <v>42</v>
      </c>
      <c r="H47">
        <v>2</v>
      </c>
      <c r="I47" s="104">
        <v>149.99</v>
      </c>
      <c r="J47" t="s">
        <v>90</v>
      </c>
      <c r="K47" t="s">
        <v>39</v>
      </c>
      <c r="L47" t="s">
        <v>97</v>
      </c>
      <c r="M47" s="103">
        <v>44645</v>
      </c>
      <c r="N47" s="104">
        <v>299.98</v>
      </c>
      <c r="O47" s="105">
        <f t="shared" si="0"/>
        <v>45473</v>
      </c>
      <c r="P47" s="106">
        <f t="shared" si="1"/>
        <v>2</v>
      </c>
      <c r="Q47" s="106">
        <f>COUNTIF($D$2:D47,D47)</f>
        <v>2</v>
      </c>
      <c r="R47" s="106" t="str">
        <f t="shared" si="2"/>
        <v>Repeat</v>
      </c>
      <c r="S47" s="106" t="str">
        <f t="shared" si="3"/>
        <v>BOO</v>
      </c>
      <c r="T47" s="106" t="str">
        <f>IF(AND(OR('Filter Demo'!$C$4="All",K47='Filter Demo'!$C$4),OR('Filter Demo'!$C$5="All",G47='Filter Demo'!$C$5),N47&gt;='Filter Demo'!$C$6),MAX($T$1:T46)+1,"")</f>
        <v/>
      </c>
    </row>
    <row r="48" spans="1:20" x14ac:dyDescent="0.25">
      <c r="A48" t="s">
        <v>499</v>
      </c>
      <c r="B48" s="103">
        <v>45452</v>
      </c>
      <c r="C48" t="s">
        <v>206</v>
      </c>
      <c r="D48" t="s">
        <v>500</v>
      </c>
      <c r="E48" t="s">
        <v>417</v>
      </c>
      <c r="F48" t="s">
        <v>106</v>
      </c>
      <c r="G48" t="s">
        <v>38</v>
      </c>
      <c r="H48">
        <v>4</v>
      </c>
      <c r="I48" s="104">
        <v>59.99</v>
      </c>
      <c r="J48" t="s">
        <v>90</v>
      </c>
      <c r="K48" t="s">
        <v>39</v>
      </c>
      <c r="L48" t="s">
        <v>96</v>
      </c>
      <c r="M48" s="103">
        <v>44435</v>
      </c>
      <c r="N48" s="104">
        <v>239.96</v>
      </c>
      <c r="O48" s="105">
        <f t="shared" si="0"/>
        <v>45473</v>
      </c>
      <c r="P48" s="106">
        <f t="shared" si="1"/>
        <v>2</v>
      </c>
      <c r="Q48" s="106">
        <f>COUNTIF($D$2:D48,D48)</f>
        <v>1</v>
      </c>
      <c r="R48" s="106" t="str">
        <f t="shared" si="2"/>
        <v>Single</v>
      </c>
      <c r="S48" s="106" t="str">
        <f t="shared" si="3"/>
        <v>BLE</v>
      </c>
      <c r="T48" s="106" t="str">
        <f>IF(AND(OR('Filter Demo'!$C$4="All",K48='Filter Demo'!$C$4),OR('Filter Demo'!$C$5="All",G48='Filter Demo'!$C$5),N48&gt;='Filter Demo'!$C$6),MAX($T$1:T47)+1,"")</f>
        <v/>
      </c>
    </row>
    <row r="49" spans="1:20" x14ac:dyDescent="0.25">
      <c r="A49" t="s">
        <v>501</v>
      </c>
      <c r="B49" s="103">
        <v>45456</v>
      </c>
      <c r="C49" t="s">
        <v>162</v>
      </c>
      <c r="D49" t="s">
        <v>476</v>
      </c>
      <c r="E49" t="s">
        <v>468</v>
      </c>
      <c r="F49" t="s">
        <v>111</v>
      </c>
      <c r="G49" t="s">
        <v>40</v>
      </c>
      <c r="H49">
        <v>5</v>
      </c>
      <c r="I49" s="104">
        <v>89.99</v>
      </c>
      <c r="J49" t="s">
        <v>90</v>
      </c>
      <c r="K49" t="s">
        <v>37</v>
      </c>
      <c r="L49" t="s">
        <v>97</v>
      </c>
      <c r="M49" s="103">
        <v>44579</v>
      </c>
      <c r="N49" s="104">
        <v>449.95</v>
      </c>
      <c r="O49" s="105">
        <f t="shared" si="0"/>
        <v>45473</v>
      </c>
      <c r="P49" s="106">
        <f t="shared" si="1"/>
        <v>2</v>
      </c>
      <c r="Q49" s="106">
        <f>COUNTIF($D$2:D49,D49)</f>
        <v>3</v>
      </c>
      <c r="R49" s="106" t="str">
        <f t="shared" si="2"/>
        <v>Repeat</v>
      </c>
      <c r="S49" s="106" t="str">
        <f t="shared" si="3"/>
        <v>KEY</v>
      </c>
      <c r="T49" s="106" t="str">
        <f>IF(AND(OR('Filter Demo'!$C$4="All",K49='Filter Demo'!$C$4),OR('Filter Demo'!$C$5="All",G49='Filter Demo'!$C$5),N49&gt;='Filter Demo'!$C$6),MAX($T$1:T48)+1,"")</f>
        <v/>
      </c>
    </row>
    <row r="50" spans="1:20" x14ac:dyDescent="0.25">
      <c r="A50" t="s">
        <v>502</v>
      </c>
      <c r="B50" s="103">
        <v>45459</v>
      </c>
      <c r="C50" t="s">
        <v>168</v>
      </c>
      <c r="D50" t="s">
        <v>456</v>
      </c>
      <c r="E50" t="s">
        <v>468</v>
      </c>
      <c r="F50" t="s">
        <v>111</v>
      </c>
      <c r="G50" t="s">
        <v>40</v>
      </c>
      <c r="H50">
        <v>2</v>
      </c>
      <c r="I50" s="104">
        <v>89.99</v>
      </c>
      <c r="J50" t="s">
        <v>91</v>
      </c>
      <c r="K50" t="s">
        <v>43</v>
      </c>
      <c r="L50" t="s">
        <v>97</v>
      </c>
      <c r="M50" s="103">
        <v>44471</v>
      </c>
      <c r="N50" s="104">
        <v>179.98</v>
      </c>
      <c r="O50" s="105">
        <f t="shared" si="0"/>
        <v>45473</v>
      </c>
      <c r="P50" s="106">
        <f t="shared" si="1"/>
        <v>2</v>
      </c>
      <c r="Q50" s="106">
        <f>COUNTIF($D$2:D50,D50)</f>
        <v>4</v>
      </c>
      <c r="R50" s="106" t="str">
        <f t="shared" si="2"/>
        <v>Repeat</v>
      </c>
      <c r="S50" s="106" t="str">
        <f t="shared" si="3"/>
        <v>KEY</v>
      </c>
      <c r="T50" s="106" t="str">
        <f>IF(AND(OR('Filter Demo'!$C$4="All",K50='Filter Demo'!$C$4),OR('Filter Demo'!$C$5="All",G50='Filter Demo'!$C$5),N50&gt;='Filter Demo'!$C$6),MAX($T$1:T49)+1,"")</f>
        <v/>
      </c>
    </row>
    <row r="51" spans="1:20" x14ac:dyDescent="0.25">
      <c r="A51" t="s">
        <v>503</v>
      </c>
      <c r="B51" s="103">
        <v>45459</v>
      </c>
      <c r="C51" t="s">
        <v>179</v>
      </c>
      <c r="D51" t="s">
        <v>411</v>
      </c>
      <c r="E51" t="s">
        <v>431</v>
      </c>
      <c r="F51" t="s">
        <v>102</v>
      </c>
      <c r="G51" t="s">
        <v>40</v>
      </c>
      <c r="H51">
        <v>5</v>
      </c>
      <c r="I51" s="104">
        <v>899.99</v>
      </c>
      <c r="J51" t="s">
        <v>91</v>
      </c>
      <c r="K51" t="s">
        <v>43</v>
      </c>
      <c r="L51" t="s">
        <v>96</v>
      </c>
      <c r="M51" s="103">
        <v>44974</v>
      </c>
      <c r="N51" s="104">
        <v>4499.95</v>
      </c>
      <c r="O51" s="105">
        <f t="shared" si="0"/>
        <v>45473</v>
      </c>
      <c r="P51" s="106">
        <f t="shared" si="1"/>
        <v>1</v>
      </c>
      <c r="Q51" s="106">
        <f>COUNTIF($D$2:D51,D51)</f>
        <v>2</v>
      </c>
      <c r="R51" s="106" t="str">
        <f t="shared" si="2"/>
        <v>Repeat</v>
      </c>
      <c r="S51" s="106" t="str">
        <f t="shared" si="3"/>
        <v>LAP</v>
      </c>
      <c r="T51" s="106">
        <f>IF(AND(OR('Filter Demo'!$C$4="All",K51='Filter Demo'!$C$4),OR('Filter Demo'!$C$5="All",G51='Filter Demo'!$C$5),N51&gt;='Filter Demo'!$C$6),MAX($T$1:T50)+1,"")</f>
        <v>10</v>
      </c>
    </row>
    <row r="52" spans="1:20" x14ac:dyDescent="0.25">
      <c r="A52" t="s">
        <v>504</v>
      </c>
      <c r="B52" s="103">
        <v>45459</v>
      </c>
      <c r="C52" t="s">
        <v>185</v>
      </c>
      <c r="D52" t="s">
        <v>472</v>
      </c>
      <c r="E52" t="s">
        <v>431</v>
      </c>
      <c r="F52" t="s">
        <v>102</v>
      </c>
      <c r="G52" t="s">
        <v>40</v>
      </c>
      <c r="H52">
        <v>5</v>
      </c>
      <c r="I52" s="104">
        <v>899.99</v>
      </c>
      <c r="J52" t="s">
        <v>93</v>
      </c>
      <c r="K52" t="s">
        <v>39</v>
      </c>
      <c r="L52" t="s">
        <v>97</v>
      </c>
      <c r="M52" s="103">
        <v>45278</v>
      </c>
      <c r="N52" s="104">
        <v>4499.95</v>
      </c>
      <c r="O52" s="105">
        <f t="shared" si="0"/>
        <v>45473</v>
      </c>
      <c r="P52" s="106">
        <f t="shared" si="1"/>
        <v>0</v>
      </c>
      <c r="Q52" s="106">
        <f>COUNTIF($D$2:D52,D52)</f>
        <v>2</v>
      </c>
      <c r="R52" s="106" t="str">
        <f t="shared" si="2"/>
        <v>Repeat</v>
      </c>
      <c r="S52" s="106" t="str">
        <f t="shared" si="3"/>
        <v>LAP</v>
      </c>
      <c r="T52" s="106">
        <f>IF(AND(OR('Filter Demo'!$C$4="All",K52='Filter Demo'!$C$4),OR('Filter Demo'!$C$5="All",G52='Filter Demo'!$C$5),N52&gt;='Filter Demo'!$C$6),MAX($T$1:T51)+1,"")</f>
        <v>11</v>
      </c>
    </row>
    <row r="53" spans="1:20" x14ac:dyDescent="0.25">
      <c r="A53" t="s">
        <v>505</v>
      </c>
      <c r="B53" s="103">
        <v>45460</v>
      </c>
      <c r="C53" t="s">
        <v>184</v>
      </c>
      <c r="D53" t="s">
        <v>497</v>
      </c>
      <c r="E53" t="s">
        <v>417</v>
      </c>
      <c r="F53" t="s">
        <v>106</v>
      </c>
      <c r="G53" t="s">
        <v>38</v>
      </c>
      <c r="H53">
        <v>1</v>
      </c>
      <c r="I53" s="104">
        <v>59.99</v>
      </c>
      <c r="J53" t="s">
        <v>92</v>
      </c>
      <c r="K53" t="s">
        <v>44</v>
      </c>
      <c r="L53" t="s">
        <v>97</v>
      </c>
      <c r="M53" s="103">
        <v>45190</v>
      </c>
      <c r="N53" s="104">
        <v>59.99</v>
      </c>
      <c r="O53" s="105">
        <f t="shared" si="0"/>
        <v>45473</v>
      </c>
      <c r="P53" s="106">
        <f t="shared" si="1"/>
        <v>0</v>
      </c>
      <c r="Q53" s="106">
        <f>COUNTIF($D$2:D53,D53)</f>
        <v>2</v>
      </c>
      <c r="R53" s="106" t="str">
        <f t="shared" si="2"/>
        <v>Repeat</v>
      </c>
      <c r="S53" s="106" t="str">
        <f t="shared" si="3"/>
        <v>BLE</v>
      </c>
      <c r="T53" s="106" t="str">
        <f>IF(AND(OR('Filter Demo'!$C$4="All",K53='Filter Demo'!$C$4),OR('Filter Demo'!$C$5="All",G53='Filter Demo'!$C$5),N53&gt;='Filter Demo'!$C$6),MAX($T$1:T52)+1,"")</f>
        <v/>
      </c>
    </row>
    <row r="54" spans="1:20" x14ac:dyDescent="0.25">
      <c r="A54" t="s">
        <v>506</v>
      </c>
      <c r="B54" s="103">
        <v>45460</v>
      </c>
      <c r="C54" t="s">
        <v>164</v>
      </c>
      <c r="D54" t="s">
        <v>485</v>
      </c>
      <c r="E54" t="s">
        <v>460</v>
      </c>
      <c r="F54" t="s">
        <v>108</v>
      </c>
      <c r="G54" t="s">
        <v>42</v>
      </c>
      <c r="H54">
        <v>2</v>
      </c>
      <c r="I54" s="104">
        <v>299.99</v>
      </c>
      <c r="J54" t="s">
        <v>92</v>
      </c>
      <c r="K54" t="s">
        <v>39</v>
      </c>
      <c r="L54" t="s">
        <v>96</v>
      </c>
      <c r="M54" s="103">
        <v>45253</v>
      </c>
      <c r="N54" s="104">
        <v>599.98</v>
      </c>
      <c r="O54" s="105">
        <f t="shared" si="0"/>
        <v>45473</v>
      </c>
      <c r="P54" s="106">
        <f t="shared" si="1"/>
        <v>0</v>
      </c>
      <c r="Q54" s="106">
        <f>COUNTIF($D$2:D54,D54)</f>
        <v>2</v>
      </c>
      <c r="R54" s="106" t="str">
        <f t="shared" si="2"/>
        <v>Repeat</v>
      </c>
      <c r="S54" s="106" t="str">
        <f t="shared" si="3"/>
        <v>DES</v>
      </c>
      <c r="T54" s="106" t="str">
        <f>IF(AND(OR('Filter Demo'!$C$4="All",K54='Filter Demo'!$C$4),OR('Filter Demo'!$C$5="All",G54='Filter Demo'!$C$5),N54&gt;='Filter Demo'!$C$6),MAX($T$1:T53)+1,"")</f>
        <v/>
      </c>
    </row>
    <row r="55" spans="1:20" x14ac:dyDescent="0.25">
      <c r="A55" t="s">
        <v>507</v>
      </c>
      <c r="B55" s="103">
        <v>45468</v>
      </c>
      <c r="C55" t="s">
        <v>205</v>
      </c>
      <c r="D55" t="s">
        <v>508</v>
      </c>
      <c r="E55" t="s">
        <v>468</v>
      </c>
      <c r="F55" t="s">
        <v>111</v>
      </c>
      <c r="G55" t="s">
        <v>40</v>
      </c>
      <c r="H55">
        <v>4</v>
      </c>
      <c r="I55" s="104">
        <v>89.99</v>
      </c>
      <c r="J55" t="s">
        <v>92</v>
      </c>
      <c r="K55" t="s">
        <v>43</v>
      </c>
      <c r="L55" t="s">
        <v>95</v>
      </c>
      <c r="M55" s="103">
        <v>45281</v>
      </c>
      <c r="N55" s="104">
        <v>359.96</v>
      </c>
      <c r="O55" s="105">
        <f t="shared" si="0"/>
        <v>45473</v>
      </c>
      <c r="P55" s="106">
        <f t="shared" si="1"/>
        <v>0</v>
      </c>
      <c r="Q55" s="106">
        <f>COUNTIF($D$2:D55,D55)</f>
        <v>1</v>
      </c>
      <c r="R55" s="106" t="str">
        <f t="shared" si="2"/>
        <v>Repeat</v>
      </c>
      <c r="S55" s="106" t="str">
        <f t="shared" si="3"/>
        <v>KEY</v>
      </c>
      <c r="T55" s="106" t="str">
        <f>IF(AND(OR('Filter Demo'!$C$4="All",K55='Filter Demo'!$C$4),OR('Filter Demo'!$C$5="All",G55='Filter Demo'!$C$5),N55&gt;='Filter Demo'!$C$6),MAX($T$1:T54)+1,"")</f>
        <v/>
      </c>
    </row>
    <row r="56" spans="1:20" x14ac:dyDescent="0.25">
      <c r="A56" t="s">
        <v>509</v>
      </c>
      <c r="B56" s="103">
        <v>45469</v>
      </c>
      <c r="C56" t="s">
        <v>177</v>
      </c>
      <c r="D56" t="s">
        <v>416</v>
      </c>
      <c r="E56" t="s">
        <v>466</v>
      </c>
      <c r="F56" t="s">
        <v>105</v>
      </c>
      <c r="G56" t="s">
        <v>38</v>
      </c>
      <c r="H56">
        <v>1</v>
      </c>
      <c r="I56" s="104">
        <v>79.989999999999995</v>
      </c>
      <c r="J56" t="s">
        <v>93</v>
      </c>
      <c r="K56" t="s">
        <v>37</v>
      </c>
      <c r="L56" t="s">
        <v>97</v>
      </c>
      <c r="M56" s="103">
        <v>45352</v>
      </c>
      <c r="N56" s="104">
        <v>79.989999999999995</v>
      </c>
      <c r="O56" s="105">
        <f t="shared" si="0"/>
        <v>45473</v>
      </c>
      <c r="P56" s="106">
        <f t="shared" si="1"/>
        <v>0</v>
      </c>
      <c r="Q56" s="106">
        <f>COUNTIF($D$2:D56,D56)</f>
        <v>3</v>
      </c>
      <c r="R56" s="106" t="str">
        <f t="shared" si="2"/>
        <v>Repeat</v>
      </c>
      <c r="S56" s="106" t="str">
        <f t="shared" si="3"/>
        <v>CM</v>
      </c>
      <c r="T56" s="106" t="str">
        <f>IF(AND(OR('Filter Demo'!$C$4="All",K56='Filter Demo'!$C$4),OR('Filter Demo'!$C$5="All",G56='Filter Demo'!$C$5),N56&gt;='Filter Demo'!$C$6),MAX($T$1:T55)+1,"")</f>
        <v/>
      </c>
    </row>
    <row r="57" spans="1:20" x14ac:dyDescent="0.25">
      <c r="A57" t="s">
        <v>510</v>
      </c>
      <c r="B57" s="103">
        <v>45469</v>
      </c>
      <c r="C57" t="s">
        <v>165</v>
      </c>
      <c r="D57" t="s">
        <v>430</v>
      </c>
      <c r="E57" t="s">
        <v>468</v>
      </c>
      <c r="F57" t="s">
        <v>111</v>
      </c>
      <c r="G57" t="s">
        <v>40</v>
      </c>
      <c r="H57">
        <v>2</v>
      </c>
      <c r="I57" s="104">
        <v>89.99</v>
      </c>
      <c r="J57" t="s">
        <v>90</v>
      </c>
      <c r="K57" t="s">
        <v>44</v>
      </c>
      <c r="L57" t="s">
        <v>95</v>
      </c>
      <c r="M57" s="103">
        <v>44438</v>
      </c>
      <c r="N57" s="104">
        <v>179.98</v>
      </c>
      <c r="O57" s="105">
        <f t="shared" si="0"/>
        <v>45473</v>
      </c>
      <c r="P57" s="106">
        <f t="shared" si="1"/>
        <v>2</v>
      </c>
      <c r="Q57" s="106">
        <f>COUNTIF($D$2:D57,D57)</f>
        <v>2</v>
      </c>
      <c r="R57" s="106" t="str">
        <f t="shared" si="2"/>
        <v>Repeat</v>
      </c>
      <c r="S57" s="106" t="str">
        <f t="shared" si="3"/>
        <v>KEY</v>
      </c>
      <c r="T57" s="106" t="str">
        <f>IF(AND(OR('Filter Demo'!$C$4="All",K57='Filter Demo'!$C$4),OR('Filter Demo'!$C$5="All",G57='Filter Demo'!$C$5),N57&gt;='Filter Demo'!$C$6),MAX($T$1:T56)+1,"")</f>
        <v/>
      </c>
    </row>
    <row r="58" spans="1:20" x14ac:dyDescent="0.25">
      <c r="A58" t="s">
        <v>511</v>
      </c>
      <c r="B58" s="103">
        <v>45471</v>
      </c>
      <c r="C58" t="s">
        <v>202</v>
      </c>
      <c r="D58" t="s">
        <v>419</v>
      </c>
      <c r="E58" t="s">
        <v>443</v>
      </c>
      <c r="F58" t="s">
        <v>103</v>
      </c>
      <c r="G58" t="s">
        <v>40</v>
      </c>
      <c r="H58">
        <v>3</v>
      </c>
      <c r="I58" s="104">
        <v>699.99</v>
      </c>
      <c r="J58" t="s">
        <v>91</v>
      </c>
      <c r="K58" t="s">
        <v>39</v>
      </c>
      <c r="L58" t="s">
        <v>97</v>
      </c>
      <c r="M58" s="103">
        <v>45102</v>
      </c>
      <c r="N58" s="104">
        <v>2099.9699999999998</v>
      </c>
      <c r="O58" s="105">
        <f t="shared" si="0"/>
        <v>45473</v>
      </c>
      <c r="P58" s="106">
        <f t="shared" si="1"/>
        <v>1</v>
      </c>
      <c r="Q58" s="106">
        <f>COUNTIF($D$2:D58,D58)</f>
        <v>3</v>
      </c>
      <c r="R58" s="106" t="str">
        <f t="shared" si="2"/>
        <v>Repeat</v>
      </c>
      <c r="S58" s="106" t="str">
        <f t="shared" si="3"/>
        <v>SMA</v>
      </c>
      <c r="T58" s="106">
        <f>IF(AND(OR('Filter Demo'!$C$4="All",K58='Filter Demo'!$C$4),OR('Filter Demo'!$C$5="All",G58='Filter Demo'!$C$5),N58&gt;='Filter Demo'!$C$6),MAX($T$1:T57)+1,"")</f>
        <v>12</v>
      </c>
    </row>
    <row r="59" spans="1:20" x14ac:dyDescent="0.25">
      <c r="A59" t="s">
        <v>512</v>
      </c>
      <c r="B59" s="103">
        <v>45471</v>
      </c>
      <c r="C59" t="s">
        <v>168</v>
      </c>
      <c r="D59" t="s">
        <v>456</v>
      </c>
      <c r="E59" t="s">
        <v>431</v>
      </c>
      <c r="F59" t="s">
        <v>102</v>
      </c>
      <c r="G59" t="s">
        <v>40</v>
      </c>
      <c r="H59">
        <v>4</v>
      </c>
      <c r="I59" s="104">
        <v>899.99</v>
      </c>
      <c r="J59" t="s">
        <v>91</v>
      </c>
      <c r="K59" t="s">
        <v>39</v>
      </c>
      <c r="L59" t="s">
        <v>97</v>
      </c>
      <c r="M59" s="103">
        <v>44993</v>
      </c>
      <c r="N59" s="104">
        <v>3599.96</v>
      </c>
      <c r="O59" s="105">
        <f t="shared" si="0"/>
        <v>45473</v>
      </c>
      <c r="P59" s="106">
        <f t="shared" si="1"/>
        <v>1</v>
      </c>
      <c r="Q59" s="106">
        <f>COUNTIF($D$2:D59,D59)</f>
        <v>5</v>
      </c>
      <c r="R59" s="106" t="str">
        <f t="shared" si="2"/>
        <v>Repeat</v>
      </c>
      <c r="S59" s="106" t="str">
        <f t="shared" si="3"/>
        <v>LAP</v>
      </c>
      <c r="T59" s="106">
        <f>IF(AND(OR('Filter Demo'!$C$4="All",K59='Filter Demo'!$C$4),OR('Filter Demo'!$C$5="All",G59='Filter Demo'!$C$5),N59&gt;='Filter Demo'!$C$6),MAX($T$1:T58)+1,"")</f>
        <v>13</v>
      </c>
    </row>
    <row r="60" spans="1:20" x14ac:dyDescent="0.25">
      <c r="A60" t="s">
        <v>513</v>
      </c>
      <c r="B60" s="103">
        <v>45472</v>
      </c>
      <c r="C60" t="s">
        <v>186</v>
      </c>
      <c r="D60" t="s">
        <v>470</v>
      </c>
      <c r="E60" t="s">
        <v>422</v>
      </c>
      <c r="F60" t="s">
        <v>109</v>
      </c>
      <c r="G60" t="s">
        <v>42</v>
      </c>
      <c r="H60">
        <v>1</v>
      </c>
      <c r="I60" s="104">
        <v>149.99</v>
      </c>
      <c r="J60" t="s">
        <v>93</v>
      </c>
      <c r="K60" t="s">
        <v>39</v>
      </c>
      <c r="L60" t="s">
        <v>95</v>
      </c>
      <c r="M60" s="103">
        <v>44851</v>
      </c>
      <c r="N60" s="104">
        <v>149.99</v>
      </c>
      <c r="O60" s="105">
        <f t="shared" si="0"/>
        <v>45473</v>
      </c>
      <c r="P60" s="106">
        <f t="shared" si="1"/>
        <v>1</v>
      </c>
      <c r="Q60" s="106">
        <f>COUNTIF($D$2:D60,D60)</f>
        <v>2</v>
      </c>
      <c r="R60" s="106" t="str">
        <f t="shared" si="2"/>
        <v>Repeat</v>
      </c>
      <c r="S60" s="106" t="str">
        <f t="shared" si="3"/>
        <v>BOO</v>
      </c>
      <c r="T60" s="106" t="str">
        <f>IF(AND(OR('Filter Demo'!$C$4="All",K60='Filter Demo'!$C$4),OR('Filter Demo'!$C$5="All",G60='Filter Demo'!$C$5),N60&gt;='Filter Demo'!$C$6),MAX($T$1:T59)+1,"")</f>
        <v/>
      </c>
    </row>
    <row r="61" spans="1:20" x14ac:dyDescent="0.25">
      <c r="A61" t="s">
        <v>514</v>
      </c>
      <c r="B61" s="103">
        <v>45474</v>
      </c>
      <c r="C61" t="s">
        <v>158</v>
      </c>
      <c r="D61" t="s">
        <v>478</v>
      </c>
      <c r="E61" t="s">
        <v>468</v>
      </c>
      <c r="F61" t="s">
        <v>111</v>
      </c>
      <c r="G61" t="s">
        <v>40</v>
      </c>
      <c r="H61">
        <v>2</v>
      </c>
      <c r="I61" s="104">
        <v>89.99</v>
      </c>
      <c r="J61" t="s">
        <v>93</v>
      </c>
      <c r="K61" t="s">
        <v>37</v>
      </c>
      <c r="L61" t="s">
        <v>97</v>
      </c>
      <c r="M61" s="103">
        <v>45275</v>
      </c>
      <c r="N61" s="104">
        <v>179.98</v>
      </c>
      <c r="O61" s="105">
        <f t="shared" si="0"/>
        <v>45504</v>
      </c>
      <c r="P61" s="106">
        <f t="shared" si="1"/>
        <v>0</v>
      </c>
      <c r="Q61" s="106">
        <f>COUNTIF($D$2:D61,D61)</f>
        <v>2</v>
      </c>
      <c r="R61" s="106" t="str">
        <f t="shared" si="2"/>
        <v>Repeat</v>
      </c>
      <c r="S61" s="106" t="str">
        <f t="shared" si="3"/>
        <v>KEY</v>
      </c>
      <c r="T61" s="106" t="str">
        <f>IF(AND(OR('Filter Demo'!$C$4="All",K61='Filter Demo'!$C$4),OR('Filter Demo'!$C$5="All",G61='Filter Demo'!$C$5),N61&gt;='Filter Demo'!$C$6),MAX($T$1:T60)+1,"")</f>
        <v/>
      </c>
    </row>
    <row r="62" spans="1:20" x14ac:dyDescent="0.25">
      <c r="A62" t="s">
        <v>515</v>
      </c>
      <c r="B62" s="103">
        <v>45475</v>
      </c>
      <c r="C62" t="s">
        <v>173</v>
      </c>
      <c r="D62" t="s">
        <v>428</v>
      </c>
      <c r="E62" t="s">
        <v>468</v>
      </c>
      <c r="F62" t="s">
        <v>111</v>
      </c>
      <c r="G62" t="s">
        <v>40</v>
      </c>
      <c r="H62">
        <v>1</v>
      </c>
      <c r="I62" s="104">
        <v>89.99</v>
      </c>
      <c r="J62" t="s">
        <v>93</v>
      </c>
      <c r="K62" t="s">
        <v>44</v>
      </c>
      <c r="L62" t="s">
        <v>96</v>
      </c>
      <c r="M62" s="103">
        <v>44802</v>
      </c>
      <c r="N62" s="104">
        <v>89.99</v>
      </c>
      <c r="O62" s="105">
        <f t="shared" si="0"/>
        <v>45504</v>
      </c>
      <c r="P62" s="106">
        <f t="shared" si="1"/>
        <v>1</v>
      </c>
      <c r="Q62" s="106">
        <f>COUNTIF($D$2:D62,D62)</f>
        <v>4</v>
      </c>
      <c r="R62" s="106" t="str">
        <f t="shared" si="2"/>
        <v>Repeat</v>
      </c>
      <c r="S62" s="106" t="str">
        <f t="shared" si="3"/>
        <v>KEY</v>
      </c>
      <c r="T62" s="106" t="str">
        <f>IF(AND(OR('Filter Demo'!$C$4="All",K62='Filter Demo'!$C$4),OR('Filter Demo'!$C$5="All",G62='Filter Demo'!$C$5),N62&gt;='Filter Demo'!$C$6),MAX($T$1:T61)+1,"")</f>
        <v/>
      </c>
    </row>
    <row r="63" spans="1:20" x14ac:dyDescent="0.25">
      <c r="A63" t="s">
        <v>516</v>
      </c>
      <c r="B63" s="103">
        <v>45476</v>
      </c>
      <c r="C63" t="s">
        <v>178</v>
      </c>
      <c r="D63" t="s">
        <v>435</v>
      </c>
      <c r="E63" t="s">
        <v>468</v>
      </c>
      <c r="F63" t="s">
        <v>111</v>
      </c>
      <c r="G63" t="s">
        <v>40</v>
      </c>
      <c r="H63">
        <v>1</v>
      </c>
      <c r="I63" s="104">
        <v>89.99</v>
      </c>
      <c r="J63" t="s">
        <v>90</v>
      </c>
      <c r="K63" t="s">
        <v>43</v>
      </c>
      <c r="L63" t="s">
        <v>96</v>
      </c>
      <c r="M63" s="103">
        <v>44611</v>
      </c>
      <c r="N63" s="104">
        <v>89.99</v>
      </c>
      <c r="O63" s="105">
        <f t="shared" si="0"/>
        <v>45504</v>
      </c>
      <c r="P63" s="106">
        <f t="shared" si="1"/>
        <v>2</v>
      </c>
      <c r="Q63" s="106">
        <f>COUNTIF($D$2:D63,D63)</f>
        <v>3</v>
      </c>
      <c r="R63" s="106" t="str">
        <f t="shared" si="2"/>
        <v>Repeat</v>
      </c>
      <c r="S63" s="106" t="str">
        <f t="shared" si="3"/>
        <v>KEY</v>
      </c>
      <c r="T63" s="106" t="str">
        <f>IF(AND(OR('Filter Demo'!$C$4="All",K63='Filter Demo'!$C$4),OR('Filter Demo'!$C$5="All",G63='Filter Demo'!$C$5),N63&gt;='Filter Demo'!$C$6),MAX($T$1:T62)+1,"")</f>
        <v/>
      </c>
    </row>
    <row r="64" spans="1:20" x14ac:dyDescent="0.25">
      <c r="A64" t="s">
        <v>517</v>
      </c>
      <c r="B64" s="103">
        <v>45476</v>
      </c>
      <c r="C64" t="s">
        <v>163</v>
      </c>
      <c r="D64" t="s">
        <v>518</v>
      </c>
      <c r="E64" t="s">
        <v>466</v>
      </c>
      <c r="F64" t="s">
        <v>105</v>
      </c>
      <c r="G64" t="s">
        <v>38</v>
      </c>
      <c r="H64">
        <v>5</v>
      </c>
      <c r="I64" s="104">
        <v>79.989999999999995</v>
      </c>
      <c r="J64" t="s">
        <v>92</v>
      </c>
      <c r="K64" t="s">
        <v>37</v>
      </c>
      <c r="L64" t="s">
        <v>95</v>
      </c>
      <c r="M64" s="103">
        <v>44981</v>
      </c>
      <c r="N64" s="104">
        <v>399.95</v>
      </c>
      <c r="O64" s="105">
        <f t="shared" si="0"/>
        <v>45504</v>
      </c>
      <c r="P64" s="106">
        <f t="shared" si="1"/>
        <v>1</v>
      </c>
      <c r="Q64" s="106">
        <f>COUNTIF($D$2:D64,D64)</f>
        <v>1</v>
      </c>
      <c r="R64" s="106" t="str">
        <f t="shared" si="2"/>
        <v>Repeat</v>
      </c>
      <c r="S64" s="106" t="str">
        <f t="shared" si="3"/>
        <v>CM</v>
      </c>
      <c r="T64" s="106" t="str">
        <f>IF(AND(OR('Filter Demo'!$C$4="All",K64='Filter Demo'!$C$4),OR('Filter Demo'!$C$5="All",G64='Filter Demo'!$C$5),N64&gt;='Filter Demo'!$C$6),MAX($T$1:T63)+1,"")</f>
        <v/>
      </c>
    </row>
    <row r="65" spans="1:20" x14ac:dyDescent="0.25">
      <c r="A65" t="s">
        <v>519</v>
      </c>
      <c r="B65" s="103">
        <v>45481</v>
      </c>
      <c r="C65" t="s">
        <v>176</v>
      </c>
      <c r="D65" t="s">
        <v>520</v>
      </c>
      <c r="E65" t="s">
        <v>422</v>
      </c>
      <c r="F65" t="s">
        <v>109</v>
      </c>
      <c r="G65" t="s">
        <v>42</v>
      </c>
      <c r="H65">
        <v>1</v>
      </c>
      <c r="I65" s="104">
        <v>149.99</v>
      </c>
      <c r="J65" t="s">
        <v>93</v>
      </c>
      <c r="K65" t="s">
        <v>41</v>
      </c>
      <c r="L65" t="s">
        <v>95</v>
      </c>
      <c r="M65" s="103">
        <v>44421</v>
      </c>
      <c r="N65" s="104">
        <v>149.99</v>
      </c>
      <c r="O65" s="105">
        <f t="shared" si="0"/>
        <v>45504</v>
      </c>
      <c r="P65" s="106">
        <f t="shared" si="1"/>
        <v>2</v>
      </c>
      <c r="Q65" s="106">
        <f>COUNTIF($D$2:D65,D65)</f>
        <v>1</v>
      </c>
      <c r="R65" s="106" t="str">
        <f t="shared" si="2"/>
        <v>Repeat</v>
      </c>
      <c r="S65" s="106" t="str">
        <f t="shared" si="3"/>
        <v>BOO</v>
      </c>
      <c r="T65" s="106" t="str">
        <f>IF(AND(OR('Filter Demo'!$C$4="All",K65='Filter Demo'!$C$4),OR('Filter Demo'!$C$5="All",G65='Filter Demo'!$C$5),N65&gt;='Filter Demo'!$C$6),MAX($T$1:T64)+1,"")</f>
        <v/>
      </c>
    </row>
    <row r="66" spans="1:20" x14ac:dyDescent="0.25">
      <c r="A66" t="s">
        <v>521</v>
      </c>
      <c r="B66" s="103">
        <v>45481</v>
      </c>
      <c r="C66" t="s">
        <v>159</v>
      </c>
      <c r="D66" t="s">
        <v>421</v>
      </c>
      <c r="E66" t="s">
        <v>443</v>
      </c>
      <c r="F66" t="s">
        <v>103</v>
      </c>
      <c r="G66" t="s">
        <v>40</v>
      </c>
      <c r="H66">
        <v>2</v>
      </c>
      <c r="I66" s="104">
        <v>699.99</v>
      </c>
      <c r="J66" t="s">
        <v>93</v>
      </c>
      <c r="K66" t="s">
        <v>39</v>
      </c>
      <c r="L66" t="s">
        <v>97</v>
      </c>
      <c r="M66" s="103">
        <v>45389</v>
      </c>
      <c r="N66" s="104">
        <v>1399.98</v>
      </c>
      <c r="O66" s="105">
        <f t="shared" ref="O66:O129" si="4">EOMONTH(B66,0)</f>
        <v>45504</v>
      </c>
      <c r="P66" s="106">
        <f t="shared" ref="P66:P129" si="5">DATEDIF(M66,B66,"Y")</f>
        <v>0</v>
      </c>
      <c r="Q66" s="106">
        <f>COUNTIF($D$2:D66,D66)</f>
        <v>3</v>
      </c>
      <c r="R66" s="106" t="str">
        <f t="shared" ref="R66:R129" si="6">IF(COUNTIF($D$2:$D$251,D66)&gt;1,"Repeat","Single")</f>
        <v>Repeat</v>
      </c>
      <c r="S66" s="106" t="str">
        <f t="shared" ref="S66:S129" si="7">IF(ISNUMBER(FIND(" ",F66)),UPPER(LEFT(F66,1)&amp;MID(F66,FIND(" ",F66)+1,1)),UPPER(LEFT(F66,3)))</f>
        <v>SMA</v>
      </c>
      <c r="T66" s="106">
        <f>IF(AND(OR('Filter Demo'!$C$4="All",K66='Filter Demo'!$C$4),OR('Filter Demo'!$C$5="All",G66='Filter Demo'!$C$5),N66&gt;='Filter Demo'!$C$6),MAX($T$1:T65)+1,"")</f>
        <v>14</v>
      </c>
    </row>
    <row r="67" spans="1:20" x14ac:dyDescent="0.25">
      <c r="A67" t="s">
        <v>522</v>
      </c>
      <c r="B67" s="103">
        <v>45481</v>
      </c>
      <c r="C67" t="s">
        <v>174</v>
      </c>
      <c r="D67" t="s">
        <v>454</v>
      </c>
      <c r="E67" t="s">
        <v>468</v>
      </c>
      <c r="F67" t="s">
        <v>111</v>
      </c>
      <c r="G67" t="s">
        <v>40</v>
      </c>
      <c r="H67">
        <v>5</v>
      </c>
      <c r="I67" s="104">
        <v>89.99</v>
      </c>
      <c r="J67" t="s">
        <v>92</v>
      </c>
      <c r="K67" t="s">
        <v>41</v>
      </c>
      <c r="L67" t="s">
        <v>97</v>
      </c>
      <c r="M67" s="103">
        <v>45161</v>
      </c>
      <c r="N67" s="104">
        <v>449.95</v>
      </c>
      <c r="O67" s="105">
        <f t="shared" si="4"/>
        <v>45504</v>
      </c>
      <c r="P67" s="106">
        <f t="shared" si="5"/>
        <v>0</v>
      </c>
      <c r="Q67" s="106">
        <f>COUNTIF($D$2:D67,D67)</f>
        <v>2</v>
      </c>
      <c r="R67" s="106" t="str">
        <f t="shared" si="6"/>
        <v>Repeat</v>
      </c>
      <c r="S67" s="106" t="str">
        <f t="shared" si="7"/>
        <v>KEY</v>
      </c>
      <c r="T67" s="106" t="str">
        <f>IF(AND(OR('Filter Demo'!$C$4="All",K67='Filter Demo'!$C$4),OR('Filter Demo'!$C$5="All",G67='Filter Demo'!$C$5),N67&gt;='Filter Demo'!$C$6),MAX($T$1:T66)+1,"")</f>
        <v/>
      </c>
    </row>
    <row r="68" spans="1:20" x14ac:dyDescent="0.25">
      <c r="A68" t="s">
        <v>523</v>
      </c>
      <c r="B68" s="103">
        <v>45482</v>
      </c>
      <c r="C68" t="s">
        <v>205</v>
      </c>
      <c r="D68" t="s">
        <v>508</v>
      </c>
      <c r="E68" t="s">
        <v>417</v>
      </c>
      <c r="F68" t="s">
        <v>106</v>
      </c>
      <c r="G68" t="s">
        <v>38</v>
      </c>
      <c r="H68">
        <v>4</v>
      </c>
      <c r="I68" s="104">
        <v>59.99</v>
      </c>
      <c r="J68" t="s">
        <v>90</v>
      </c>
      <c r="K68" t="s">
        <v>43</v>
      </c>
      <c r="L68" t="s">
        <v>96</v>
      </c>
      <c r="M68" s="103">
        <v>44509</v>
      </c>
      <c r="N68" s="104">
        <v>239.96</v>
      </c>
      <c r="O68" s="105">
        <f t="shared" si="4"/>
        <v>45504</v>
      </c>
      <c r="P68" s="106">
        <f t="shared" si="5"/>
        <v>2</v>
      </c>
      <c r="Q68" s="106">
        <f>COUNTIF($D$2:D68,D68)</f>
        <v>2</v>
      </c>
      <c r="R68" s="106" t="str">
        <f t="shared" si="6"/>
        <v>Repeat</v>
      </c>
      <c r="S68" s="106" t="str">
        <f t="shared" si="7"/>
        <v>BLE</v>
      </c>
      <c r="T68" s="106" t="str">
        <f>IF(AND(OR('Filter Demo'!$C$4="All",K68='Filter Demo'!$C$4),OR('Filter Demo'!$C$5="All",G68='Filter Demo'!$C$5),N68&gt;='Filter Demo'!$C$6),MAX($T$1:T67)+1,"")</f>
        <v/>
      </c>
    </row>
    <row r="69" spans="1:20" x14ac:dyDescent="0.25">
      <c r="A69" t="s">
        <v>524</v>
      </c>
      <c r="B69" s="103">
        <v>45484</v>
      </c>
      <c r="C69" t="s">
        <v>169</v>
      </c>
      <c r="D69" t="s">
        <v>414</v>
      </c>
      <c r="E69" t="s">
        <v>426</v>
      </c>
      <c r="F69" t="s">
        <v>104</v>
      </c>
      <c r="G69" t="s">
        <v>40</v>
      </c>
      <c r="H69">
        <v>1</v>
      </c>
      <c r="I69" s="104">
        <v>149.99</v>
      </c>
      <c r="J69" t="s">
        <v>90</v>
      </c>
      <c r="K69" t="s">
        <v>37</v>
      </c>
      <c r="L69" t="s">
        <v>96</v>
      </c>
      <c r="M69" s="103">
        <v>44909</v>
      </c>
      <c r="N69" s="104">
        <v>149.99</v>
      </c>
      <c r="O69" s="105">
        <f t="shared" si="4"/>
        <v>45504</v>
      </c>
      <c r="P69" s="106">
        <f t="shared" si="5"/>
        <v>1</v>
      </c>
      <c r="Q69" s="106">
        <f>COUNTIF($D$2:D69,D69)</f>
        <v>3</v>
      </c>
      <c r="R69" s="106" t="str">
        <f t="shared" si="6"/>
        <v>Repeat</v>
      </c>
      <c r="S69" s="106" t="str">
        <f t="shared" si="7"/>
        <v>HEA</v>
      </c>
      <c r="T69" s="106" t="str">
        <f>IF(AND(OR('Filter Demo'!$C$4="All",K69='Filter Demo'!$C$4),OR('Filter Demo'!$C$5="All",G69='Filter Demo'!$C$5),N69&gt;='Filter Demo'!$C$6),MAX($T$1:T68)+1,"")</f>
        <v/>
      </c>
    </row>
    <row r="70" spans="1:20" x14ac:dyDescent="0.25">
      <c r="A70" t="s">
        <v>525</v>
      </c>
      <c r="B70" s="103">
        <v>45484</v>
      </c>
      <c r="C70" t="s">
        <v>189</v>
      </c>
      <c r="D70" t="s">
        <v>526</v>
      </c>
      <c r="E70" t="s">
        <v>460</v>
      </c>
      <c r="F70" t="s">
        <v>108</v>
      </c>
      <c r="G70" t="s">
        <v>42</v>
      </c>
      <c r="H70">
        <v>1</v>
      </c>
      <c r="I70" s="104">
        <v>299.99</v>
      </c>
      <c r="J70" t="s">
        <v>91</v>
      </c>
      <c r="K70" t="s">
        <v>41</v>
      </c>
      <c r="L70" t="s">
        <v>97</v>
      </c>
      <c r="M70" s="103">
        <v>44891</v>
      </c>
      <c r="N70" s="104">
        <v>299.99</v>
      </c>
      <c r="O70" s="105">
        <f t="shared" si="4"/>
        <v>45504</v>
      </c>
      <c r="P70" s="106">
        <f t="shared" si="5"/>
        <v>1</v>
      </c>
      <c r="Q70" s="106">
        <f>COUNTIF($D$2:D70,D70)</f>
        <v>1</v>
      </c>
      <c r="R70" s="106" t="str">
        <f t="shared" si="6"/>
        <v>Repeat</v>
      </c>
      <c r="S70" s="106" t="str">
        <f t="shared" si="7"/>
        <v>DES</v>
      </c>
      <c r="T70" s="106" t="str">
        <f>IF(AND(OR('Filter Demo'!$C$4="All",K70='Filter Demo'!$C$4),OR('Filter Demo'!$C$5="All",G70='Filter Demo'!$C$5),N70&gt;='Filter Demo'!$C$6),MAX($T$1:T69)+1,"")</f>
        <v/>
      </c>
    </row>
    <row r="71" spans="1:20" x14ac:dyDescent="0.25">
      <c r="A71" t="s">
        <v>527</v>
      </c>
      <c r="B71" s="103">
        <v>45487</v>
      </c>
      <c r="C71" t="s">
        <v>189</v>
      </c>
      <c r="D71" t="s">
        <v>526</v>
      </c>
      <c r="E71" t="s">
        <v>474</v>
      </c>
      <c r="F71" t="s">
        <v>107</v>
      </c>
      <c r="G71" t="s">
        <v>42</v>
      </c>
      <c r="H71">
        <v>2</v>
      </c>
      <c r="I71" s="104">
        <v>199.99</v>
      </c>
      <c r="J71" t="s">
        <v>90</v>
      </c>
      <c r="K71" t="s">
        <v>41</v>
      </c>
      <c r="L71" t="s">
        <v>95</v>
      </c>
      <c r="M71" s="103">
        <v>44541</v>
      </c>
      <c r="N71" s="104">
        <v>399.98</v>
      </c>
      <c r="O71" s="105">
        <f t="shared" si="4"/>
        <v>45504</v>
      </c>
      <c r="P71" s="106">
        <f t="shared" si="5"/>
        <v>2</v>
      </c>
      <c r="Q71" s="106">
        <f>COUNTIF($D$2:D71,D71)</f>
        <v>2</v>
      </c>
      <c r="R71" s="106" t="str">
        <f t="shared" si="6"/>
        <v>Repeat</v>
      </c>
      <c r="S71" s="106" t="str">
        <f t="shared" si="7"/>
        <v>OC</v>
      </c>
      <c r="T71" s="106" t="str">
        <f>IF(AND(OR('Filter Demo'!$C$4="All",K71='Filter Demo'!$C$4),OR('Filter Demo'!$C$5="All",G71='Filter Demo'!$C$5),N71&gt;='Filter Demo'!$C$6),MAX($T$1:T70)+1,"")</f>
        <v/>
      </c>
    </row>
    <row r="72" spans="1:20" x14ac:dyDescent="0.25">
      <c r="A72" t="s">
        <v>528</v>
      </c>
      <c r="B72" s="103">
        <v>45490</v>
      </c>
      <c r="C72" t="s">
        <v>203</v>
      </c>
      <c r="D72" t="s">
        <v>529</v>
      </c>
      <c r="E72" t="s">
        <v>417</v>
      </c>
      <c r="F72" t="s">
        <v>106</v>
      </c>
      <c r="G72" t="s">
        <v>38</v>
      </c>
      <c r="H72">
        <v>3</v>
      </c>
      <c r="I72" s="104">
        <v>59.99</v>
      </c>
      <c r="J72" t="s">
        <v>91</v>
      </c>
      <c r="K72" t="s">
        <v>44</v>
      </c>
      <c r="L72" t="s">
        <v>95</v>
      </c>
      <c r="M72" s="103">
        <v>45130</v>
      </c>
      <c r="N72" s="104">
        <v>179.97</v>
      </c>
      <c r="O72" s="105">
        <f t="shared" si="4"/>
        <v>45504</v>
      </c>
      <c r="P72" s="106">
        <f t="shared" si="5"/>
        <v>0</v>
      </c>
      <c r="Q72" s="106">
        <f>COUNTIF($D$2:D72,D72)</f>
        <v>1</v>
      </c>
      <c r="R72" s="106" t="str">
        <f t="shared" si="6"/>
        <v>Repeat</v>
      </c>
      <c r="S72" s="106" t="str">
        <f t="shared" si="7"/>
        <v>BLE</v>
      </c>
      <c r="T72" s="106" t="str">
        <f>IF(AND(OR('Filter Demo'!$C$4="All",K72='Filter Demo'!$C$4),OR('Filter Demo'!$C$5="All",G72='Filter Demo'!$C$5),N72&gt;='Filter Demo'!$C$6),MAX($T$1:T71)+1,"")</f>
        <v/>
      </c>
    </row>
    <row r="73" spans="1:20" x14ac:dyDescent="0.25">
      <c r="A73" t="s">
        <v>530</v>
      </c>
      <c r="B73" s="103">
        <v>45490</v>
      </c>
      <c r="C73" t="s">
        <v>197</v>
      </c>
      <c r="D73" t="s">
        <v>438</v>
      </c>
      <c r="E73" t="s">
        <v>422</v>
      </c>
      <c r="F73" t="s">
        <v>109</v>
      </c>
      <c r="G73" t="s">
        <v>42</v>
      </c>
      <c r="H73">
        <v>3</v>
      </c>
      <c r="I73" s="104">
        <v>149.99</v>
      </c>
      <c r="J73" t="s">
        <v>90</v>
      </c>
      <c r="K73" t="s">
        <v>37</v>
      </c>
      <c r="L73" t="s">
        <v>97</v>
      </c>
      <c r="M73" s="103">
        <v>45199</v>
      </c>
      <c r="N73" s="104">
        <v>449.97</v>
      </c>
      <c r="O73" s="105">
        <f t="shared" si="4"/>
        <v>45504</v>
      </c>
      <c r="P73" s="106">
        <f t="shared" si="5"/>
        <v>0</v>
      </c>
      <c r="Q73" s="106">
        <f>COUNTIF($D$2:D73,D73)</f>
        <v>2</v>
      </c>
      <c r="R73" s="106" t="str">
        <f t="shared" si="6"/>
        <v>Repeat</v>
      </c>
      <c r="S73" s="106" t="str">
        <f t="shared" si="7"/>
        <v>BOO</v>
      </c>
      <c r="T73" s="106" t="str">
        <f>IF(AND(OR('Filter Demo'!$C$4="All",K73='Filter Demo'!$C$4),OR('Filter Demo'!$C$5="All",G73='Filter Demo'!$C$5),N73&gt;='Filter Demo'!$C$6),MAX($T$1:T72)+1,"")</f>
        <v/>
      </c>
    </row>
    <row r="74" spans="1:20" x14ac:dyDescent="0.25">
      <c r="A74" t="s">
        <v>531</v>
      </c>
      <c r="B74" s="103">
        <v>45491</v>
      </c>
      <c r="C74" t="s">
        <v>182</v>
      </c>
      <c r="D74" t="s">
        <v>433</v>
      </c>
      <c r="E74" t="s">
        <v>474</v>
      </c>
      <c r="F74" t="s">
        <v>107</v>
      </c>
      <c r="G74" t="s">
        <v>42</v>
      </c>
      <c r="H74">
        <v>3</v>
      </c>
      <c r="I74" s="104">
        <v>199.99</v>
      </c>
      <c r="J74" t="s">
        <v>90</v>
      </c>
      <c r="K74" t="s">
        <v>41</v>
      </c>
      <c r="L74" t="s">
        <v>97</v>
      </c>
      <c r="M74" s="103">
        <v>45254</v>
      </c>
      <c r="N74" s="104">
        <v>599.97</v>
      </c>
      <c r="O74" s="105">
        <f t="shared" si="4"/>
        <v>45504</v>
      </c>
      <c r="P74" s="106">
        <f t="shared" si="5"/>
        <v>0</v>
      </c>
      <c r="Q74" s="106">
        <f>COUNTIF($D$2:D74,D74)</f>
        <v>2</v>
      </c>
      <c r="R74" s="106" t="str">
        <f t="shared" si="6"/>
        <v>Repeat</v>
      </c>
      <c r="S74" s="106" t="str">
        <f t="shared" si="7"/>
        <v>OC</v>
      </c>
      <c r="T74" s="106" t="str">
        <f>IF(AND(OR('Filter Demo'!$C$4="All",K74='Filter Demo'!$C$4),OR('Filter Demo'!$C$5="All",G74='Filter Demo'!$C$5),N74&gt;='Filter Demo'!$C$6),MAX($T$1:T73)+1,"")</f>
        <v/>
      </c>
    </row>
    <row r="75" spans="1:20" x14ac:dyDescent="0.25">
      <c r="A75" t="s">
        <v>532</v>
      </c>
      <c r="B75" s="103">
        <v>45496</v>
      </c>
      <c r="C75" t="s">
        <v>196</v>
      </c>
      <c r="D75" t="s">
        <v>491</v>
      </c>
      <c r="E75" t="s">
        <v>431</v>
      </c>
      <c r="F75" t="s">
        <v>102</v>
      </c>
      <c r="G75" t="s">
        <v>40</v>
      </c>
      <c r="H75">
        <v>1</v>
      </c>
      <c r="I75" s="104">
        <v>899.99</v>
      </c>
      <c r="J75" t="s">
        <v>90</v>
      </c>
      <c r="K75" t="s">
        <v>37</v>
      </c>
      <c r="L75" t="s">
        <v>96</v>
      </c>
      <c r="M75" s="103">
        <v>45179</v>
      </c>
      <c r="N75" s="104">
        <v>899.99</v>
      </c>
      <c r="O75" s="105">
        <f t="shared" si="4"/>
        <v>45504</v>
      </c>
      <c r="P75" s="106">
        <f t="shared" si="5"/>
        <v>0</v>
      </c>
      <c r="Q75" s="106">
        <f>COUNTIF($D$2:D75,D75)</f>
        <v>2</v>
      </c>
      <c r="R75" s="106" t="str">
        <f t="shared" si="6"/>
        <v>Repeat</v>
      </c>
      <c r="S75" s="106" t="str">
        <f t="shared" si="7"/>
        <v>LAP</v>
      </c>
      <c r="T75" s="106" t="str">
        <f>IF(AND(OR('Filter Demo'!$C$4="All",K75='Filter Demo'!$C$4),OR('Filter Demo'!$C$5="All",G75='Filter Demo'!$C$5),N75&gt;='Filter Demo'!$C$6),MAX($T$1:T74)+1,"")</f>
        <v/>
      </c>
    </row>
    <row r="76" spans="1:20" x14ac:dyDescent="0.25">
      <c r="A76" t="s">
        <v>533</v>
      </c>
      <c r="B76" s="103">
        <v>45497</v>
      </c>
      <c r="C76" t="s">
        <v>169</v>
      </c>
      <c r="D76" t="s">
        <v>414</v>
      </c>
      <c r="E76" t="s">
        <v>431</v>
      </c>
      <c r="F76" t="s">
        <v>102</v>
      </c>
      <c r="G76" t="s">
        <v>40</v>
      </c>
      <c r="H76">
        <v>5</v>
      </c>
      <c r="I76" s="104">
        <v>899.99</v>
      </c>
      <c r="J76" t="s">
        <v>92</v>
      </c>
      <c r="K76" t="s">
        <v>43</v>
      </c>
      <c r="L76" t="s">
        <v>96</v>
      </c>
      <c r="M76" s="103">
        <v>44899</v>
      </c>
      <c r="N76" s="104">
        <v>4499.95</v>
      </c>
      <c r="O76" s="105">
        <f t="shared" si="4"/>
        <v>45504</v>
      </c>
      <c r="P76" s="106">
        <f t="shared" si="5"/>
        <v>1</v>
      </c>
      <c r="Q76" s="106">
        <f>COUNTIF($D$2:D76,D76)</f>
        <v>4</v>
      </c>
      <c r="R76" s="106" t="str">
        <f t="shared" si="6"/>
        <v>Repeat</v>
      </c>
      <c r="S76" s="106" t="str">
        <f t="shared" si="7"/>
        <v>LAP</v>
      </c>
      <c r="T76" s="106">
        <f>IF(AND(OR('Filter Demo'!$C$4="All",K76='Filter Demo'!$C$4),OR('Filter Demo'!$C$5="All",G76='Filter Demo'!$C$5),N76&gt;='Filter Demo'!$C$6),MAX($T$1:T75)+1,"")</f>
        <v>15</v>
      </c>
    </row>
    <row r="77" spans="1:20" x14ac:dyDescent="0.25">
      <c r="A77" t="s">
        <v>534</v>
      </c>
      <c r="B77" s="103">
        <v>45498</v>
      </c>
      <c r="C77" t="s">
        <v>163</v>
      </c>
      <c r="D77" t="s">
        <v>518</v>
      </c>
      <c r="E77" t="s">
        <v>417</v>
      </c>
      <c r="F77" t="s">
        <v>106</v>
      </c>
      <c r="G77" t="s">
        <v>38</v>
      </c>
      <c r="H77">
        <v>2</v>
      </c>
      <c r="I77" s="104">
        <v>59.99</v>
      </c>
      <c r="J77" t="s">
        <v>90</v>
      </c>
      <c r="K77" t="s">
        <v>41</v>
      </c>
      <c r="L77" t="s">
        <v>96</v>
      </c>
      <c r="M77" s="103">
        <v>45152</v>
      </c>
      <c r="N77" s="104">
        <v>119.98</v>
      </c>
      <c r="O77" s="105">
        <f t="shared" si="4"/>
        <v>45504</v>
      </c>
      <c r="P77" s="106">
        <f t="shared" si="5"/>
        <v>0</v>
      </c>
      <c r="Q77" s="106">
        <f>COUNTIF($D$2:D77,D77)</f>
        <v>2</v>
      </c>
      <c r="R77" s="106" t="str">
        <f t="shared" si="6"/>
        <v>Repeat</v>
      </c>
      <c r="S77" s="106" t="str">
        <f t="shared" si="7"/>
        <v>BLE</v>
      </c>
      <c r="T77" s="106" t="str">
        <f>IF(AND(OR('Filter Demo'!$C$4="All",K77='Filter Demo'!$C$4),OR('Filter Demo'!$C$5="All",G77='Filter Demo'!$C$5),N77&gt;='Filter Demo'!$C$6),MAX($T$1:T76)+1,"")</f>
        <v/>
      </c>
    </row>
    <row r="78" spans="1:20" x14ac:dyDescent="0.25">
      <c r="A78" t="s">
        <v>535</v>
      </c>
      <c r="B78" s="103">
        <v>45498</v>
      </c>
      <c r="C78" t="s">
        <v>203</v>
      </c>
      <c r="D78" t="s">
        <v>529</v>
      </c>
      <c r="E78" t="s">
        <v>412</v>
      </c>
      <c r="F78" t="s">
        <v>110</v>
      </c>
      <c r="G78" t="s">
        <v>40</v>
      </c>
      <c r="H78">
        <v>4</v>
      </c>
      <c r="I78" s="104">
        <v>249.99</v>
      </c>
      <c r="J78" t="s">
        <v>92</v>
      </c>
      <c r="K78" t="s">
        <v>37</v>
      </c>
      <c r="L78" t="s">
        <v>96</v>
      </c>
      <c r="M78" s="103">
        <v>45127</v>
      </c>
      <c r="N78" s="104">
        <v>999.96</v>
      </c>
      <c r="O78" s="105">
        <f t="shared" si="4"/>
        <v>45504</v>
      </c>
      <c r="P78" s="106">
        <f t="shared" si="5"/>
        <v>1</v>
      </c>
      <c r="Q78" s="106">
        <f>COUNTIF($D$2:D78,D78)</f>
        <v>2</v>
      </c>
      <c r="R78" s="106" t="str">
        <f t="shared" si="6"/>
        <v>Repeat</v>
      </c>
      <c r="S78" s="106" t="str">
        <f t="shared" si="7"/>
        <v>MON</v>
      </c>
      <c r="T78" s="106" t="str">
        <f>IF(AND(OR('Filter Demo'!$C$4="All",K78='Filter Demo'!$C$4),OR('Filter Demo'!$C$5="All",G78='Filter Demo'!$C$5),N78&gt;='Filter Demo'!$C$6),MAX($T$1:T77)+1,"")</f>
        <v/>
      </c>
    </row>
    <row r="79" spans="1:20" x14ac:dyDescent="0.25">
      <c r="A79" t="s">
        <v>536</v>
      </c>
      <c r="B79" s="103">
        <v>45500</v>
      </c>
      <c r="C79" t="s">
        <v>174</v>
      </c>
      <c r="D79" t="s">
        <v>454</v>
      </c>
      <c r="E79" t="s">
        <v>412</v>
      </c>
      <c r="F79" t="s">
        <v>110</v>
      </c>
      <c r="G79" t="s">
        <v>40</v>
      </c>
      <c r="H79">
        <v>2</v>
      </c>
      <c r="I79" s="104">
        <v>249.99</v>
      </c>
      <c r="J79" t="s">
        <v>90</v>
      </c>
      <c r="K79" t="s">
        <v>41</v>
      </c>
      <c r="L79" t="s">
        <v>97</v>
      </c>
      <c r="M79" s="103">
        <v>45164</v>
      </c>
      <c r="N79" s="104">
        <v>499.98</v>
      </c>
      <c r="O79" s="105">
        <f t="shared" si="4"/>
        <v>45504</v>
      </c>
      <c r="P79" s="106">
        <f t="shared" si="5"/>
        <v>0</v>
      </c>
      <c r="Q79" s="106">
        <f>COUNTIF($D$2:D79,D79)</f>
        <v>3</v>
      </c>
      <c r="R79" s="106" t="str">
        <f t="shared" si="6"/>
        <v>Repeat</v>
      </c>
      <c r="S79" s="106" t="str">
        <f t="shared" si="7"/>
        <v>MON</v>
      </c>
      <c r="T79" s="106" t="str">
        <f>IF(AND(OR('Filter Demo'!$C$4="All",K79='Filter Demo'!$C$4),OR('Filter Demo'!$C$5="All",G79='Filter Demo'!$C$5),N79&gt;='Filter Demo'!$C$6),MAX($T$1:T78)+1,"")</f>
        <v/>
      </c>
    </row>
    <row r="80" spans="1:20" x14ac:dyDescent="0.25">
      <c r="A80" t="s">
        <v>537</v>
      </c>
      <c r="B80" s="103">
        <v>45500</v>
      </c>
      <c r="C80" t="s">
        <v>175</v>
      </c>
      <c r="D80" t="s">
        <v>489</v>
      </c>
      <c r="E80" t="s">
        <v>460</v>
      </c>
      <c r="F80" t="s">
        <v>108</v>
      </c>
      <c r="G80" t="s">
        <v>42</v>
      </c>
      <c r="H80">
        <v>1</v>
      </c>
      <c r="I80" s="104">
        <v>299.99</v>
      </c>
      <c r="J80" t="s">
        <v>90</v>
      </c>
      <c r="K80" t="s">
        <v>43</v>
      </c>
      <c r="L80" t="s">
        <v>95</v>
      </c>
      <c r="M80" s="103">
        <v>44982</v>
      </c>
      <c r="N80" s="104">
        <v>299.99</v>
      </c>
      <c r="O80" s="105">
        <f t="shared" si="4"/>
        <v>45504</v>
      </c>
      <c r="P80" s="106">
        <f t="shared" si="5"/>
        <v>1</v>
      </c>
      <c r="Q80" s="106">
        <f>COUNTIF($D$2:D80,D80)</f>
        <v>2</v>
      </c>
      <c r="R80" s="106" t="str">
        <f t="shared" si="6"/>
        <v>Repeat</v>
      </c>
      <c r="S80" s="106" t="str">
        <f t="shared" si="7"/>
        <v>DES</v>
      </c>
      <c r="T80" s="106" t="str">
        <f>IF(AND(OR('Filter Demo'!$C$4="All",K80='Filter Demo'!$C$4),OR('Filter Demo'!$C$5="All",G80='Filter Demo'!$C$5),N80&gt;='Filter Demo'!$C$6),MAX($T$1:T79)+1,"")</f>
        <v/>
      </c>
    </row>
    <row r="81" spans="1:20" x14ac:dyDescent="0.25">
      <c r="A81" t="s">
        <v>538</v>
      </c>
      <c r="B81" s="103">
        <v>45501</v>
      </c>
      <c r="C81" t="s">
        <v>181</v>
      </c>
      <c r="D81" t="s">
        <v>447</v>
      </c>
      <c r="E81" t="s">
        <v>468</v>
      </c>
      <c r="F81" t="s">
        <v>111</v>
      </c>
      <c r="G81" t="s">
        <v>40</v>
      </c>
      <c r="H81">
        <v>2</v>
      </c>
      <c r="I81" s="104">
        <v>89.99</v>
      </c>
      <c r="J81" t="s">
        <v>93</v>
      </c>
      <c r="K81" t="s">
        <v>43</v>
      </c>
      <c r="L81" t="s">
        <v>95</v>
      </c>
      <c r="M81" s="103">
        <v>44976</v>
      </c>
      <c r="N81" s="104">
        <v>179.98</v>
      </c>
      <c r="O81" s="105">
        <f t="shared" si="4"/>
        <v>45504</v>
      </c>
      <c r="P81" s="106">
        <f t="shared" si="5"/>
        <v>1</v>
      </c>
      <c r="Q81" s="106">
        <f>COUNTIF($D$2:D81,D81)</f>
        <v>4</v>
      </c>
      <c r="R81" s="106" t="str">
        <f t="shared" si="6"/>
        <v>Repeat</v>
      </c>
      <c r="S81" s="106" t="str">
        <f t="shared" si="7"/>
        <v>KEY</v>
      </c>
      <c r="T81" s="106" t="str">
        <f>IF(AND(OR('Filter Demo'!$C$4="All",K81='Filter Demo'!$C$4),OR('Filter Demo'!$C$5="All",G81='Filter Demo'!$C$5),N81&gt;='Filter Demo'!$C$6),MAX($T$1:T80)+1,"")</f>
        <v/>
      </c>
    </row>
    <row r="82" spans="1:20" x14ac:dyDescent="0.25">
      <c r="A82" t="s">
        <v>281</v>
      </c>
      <c r="B82" s="103">
        <v>45501</v>
      </c>
      <c r="C82" t="s">
        <v>175</v>
      </c>
      <c r="D82" t="s">
        <v>489</v>
      </c>
      <c r="E82" t="s">
        <v>460</v>
      </c>
      <c r="F82" t="s">
        <v>108</v>
      </c>
      <c r="G82" t="s">
        <v>42</v>
      </c>
      <c r="H82">
        <v>3</v>
      </c>
      <c r="I82" s="104">
        <v>299.99</v>
      </c>
      <c r="J82" t="s">
        <v>90</v>
      </c>
      <c r="K82" t="s">
        <v>37</v>
      </c>
      <c r="L82" t="s">
        <v>95</v>
      </c>
      <c r="M82" s="103">
        <v>44732</v>
      </c>
      <c r="N82" s="104">
        <v>899.97</v>
      </c>
      <c r="O82" s="105">
        <f t="shared" si="4"/>
        <v>45504</v>
      </c>
      <c r="P82" s="106">
        <f t="shared" si="5"/>
        <v>2</v>
      </c>
      <c r="Q82" s="106">
        <f>COUNTIF($D$2:D82,D82)</f>
        <v>3</v>
      </c>
      <c r="R82" s="106" t="str">
        <f t="shared" si="6"/>
        <v>Repeat</v>
      </c>
      <c r="S82" s="106" t="str">
        <f t="shared" si="7"/>
        <v>DES</v>
      </c>
      <c r="T82" s="106" t="str">
        <f>IF(AND(OR('Filter Demo'!$C$4="All",K82='Filter Demo'!$C$4),OR('Filter Demo'!$C$5="All",G82='Filter Demo'!$C$5),N82&gt;='Filter Demo'!$C$6),MAX($T$1:T81)+1,"")</f>
        <v/>
      </c>
    </row>
    <row r="83" spans="1:20" x14ac:dyDescent="0.25">
      <c r="A83" t="s">
        <v>539</v>
      </c>
      <c r="B83" s="103">
        <v>45503</v>
      </c>
      <c r="C83" t="s">
        <v>181</v>
      </c>
      <c r="D83" t="s">
        <v>447</v>
      </c>
      <c r="E83" t="s">
        <v>443</v>
      </c>
      <c r="F83" t="s">
        <v>103</v>
      </c>
      <c r="G83" t="s">
        <v>40</v>
      </c>
      <c r="H83">
        <v>2</v>
      </c>
      <c r="I83" s="104">
        <v>699.99</v>
      </c>
      <c r="J83" t="s">
        <v>91</v>
      </c>
      <c r="K83" t="s">
        <v>41</v>
      </c>
      <c r="L83" t="s">
        <v>97</v>
      </c>
      <c r="M83" s="103">
        <v>44999</v>
      </c>
      <c r="N83" s="104">
        <v>1399.98</v>
      </c>
      <c r="O83" s="105">
        <f t="shared" si="4"/>
        <v>45504</v>
      </c>
      <c r="P83" s="106">
        <f t="shared" si="5"/>
        <v>1</v>
      </c>
      <c r="Q83" s="106">
        <f>COUNTIF($D$2:D83,D83)</f>
        <v>5</v>
      </c>
      <c r="R83" s="106" t="str">
        <f t="shared" si="6"/>
        <v>Repeat</v>
      </c>
      <c r="S83" s="106" t="str">
        <f t="shared" si="7"/>
        <v>SMA</v>
      </c>
      <c r="T83" s="106">
        <f>IF(AND(OR('Filter Demo'!$C$4="All",K83='Filter Demo'!$C$4),OR('Filter Demo'!$C$5="All",G83='Filter Demo'!$C$5),N83&gt;='Filter Demo'!$C$6),MAX($T$1:T82)+1,"")</f>
        <v>16</v>
      </c>
    </row>
    <row r="84" spans="1:20" x14ac:dyDescent="0.25">
      <c r="A84" t="s">
        <v>540</v>
      </c>
      <c r="B84" s="103">
        <v>45504</v>
      </c>
      <c r="C84" t="s">
        <v>186</v>
      </c>
      <c r="D84" t="s">
        <v>470</v>
      </c>
      <c r="E84" t="s">
        <v>431</v>
      </c>
      <c r="F84" t="s">
        <v>102</v>
      </c>
      <c r="G84" t="s">
        <v>40</v>
      </c>
      <c r="H84">
        <v>4</v>
      </c>
      <c r="I84" s="104">
        <v>899.99</v>
      </c>
      <c r="J84" t="s">
        <v>92</v>
      </c>
      <c r="K84" t="s">
        <v>43</v>
      </c>
      <c r="L84" t="s">
        <v>96</v>
      </c>
      <c r="M84" s="103">
        <v>44523</v>
      </c>
      <c r="N84" s="104">
        <v>3599.96</v>
      </c>
      <c r="O84" s="105">
        <f t="shared" si="4"/>
        <v>45504</v>
      </c>
      <c r="P84" s="106">
        <f t="shared" si="5"/>
        <v>2</v>
      </c>
      <c r="Q84" s="106">
        <f>COUNTIF($D$2:D84,D84)</f>
        <v>3</v>
      </c>
      <c r="R84" s="106" t="str">
        <f t="shared" si="6"/>
        <v>Repeat</v>
      </c>
      <c r="S84" s="106" t="str">
        <f t="shared" si="7"/>
        <v>LAP</v>
      </c>
      <c r="T84" s="106">
        <f>IF(AND(OR('Filter Demo'!$C$4="All",K84='Filter Demo'!$C$4),OR('Filter Demo'!$C$5="All",G84='Filter Demo'!$C$5),N84&gt;='Filter Demo'!$C$6),MAX($T$1:T83)+1,"")</f>
        <v>17</v>
      </c>
    </row>
    <row r="85" spans="1:20" x14ac:dyDescent="0.25">
      <c r="A85" t="s">
        <v>541</v>
      </c>
      <c r="B85" s="103">
        <v>45509</v>
      </c>
      <c r="C85" t="s">
        <v>172</v>
      </c>
      <c r="D85" t="s">
        <v>542</v>
      </c>
      <c r="E85" t="s">
        <v>422</v>
      </c>
      <c r="F85" t="s">
        <v>109</v>
      </c>
      <c r="G85" t="s">
        <v>42</v>
      </c>
      <c r="H85">
        <v>2</v>
      </c>
      <c r="I85" s="104">
        <v>149.99</v>
      </c>
      <c r="J85" t="s">
        <v>91</v>
      </c>
      <c r="K85" t="s">
        <v>44</v>
      </c>
      <c r="L85" t="s">
        <v>95</v>
      </c>
      <c r="M85" s="103">
        <v>44542</v>
      </c>
      <c r="N85" s="104">
        <v>299.98</v>
      </c>
      <c r="O85" s="105">
        <f t="shared" si="4"/>
        <v>45535</v>
      </c>
      <c r="P85" s="106">
        <f t="shared" si="5"/>
        <v>2</v>
      </c>
      <c r="Q85" s="106">
        <f>COUNTIF($D$2:D85,D85)</f>
        <v>1</v>
      </c>
      <c r="R85" s="106" t="str">
        <f t="shared" si="6"/>
        <v>Repeat</v>
      </c>
      <c r="S85" s="106" t="str">
        <f t="shared" si="7"/>
        <v>BOO</v>
      </c>
      <c r="T85" s="106" t="str">
        <f>IF(AND(OR('Filter Demo'!$C$4="All",K85='Filter Demo'!$C$4),OR('Filter Demo'!$C$5="All",G85='Filter Demo'!$C$5),N85&gt;='Filter Demo'!$C$6),MAX($T$1:T84)+1,"")</f>
        <v/>
      </c>
    </row>
    <row r="86" spans="1:20" x14ac:dyDescent="0.25">
      <c r="A86" t="s">
        <v>543</v>
      </c>
      <c r="B86" s="103">
        <v>45510</v>
      </c>
      <c r="C86" t="s">
        <v>200</v>
      </c>
      <c r="D86" t="s">
        <v>458</v>
      </c>
      <c r="E86" t="s">
        <v>422</v>
      </c>
      <c r="F86" t="s">
        <v>109</v>
      </c>
      <c r="G86" t="s">
        <v>42</v>
      </c>
      <c r="H86">
        <v>2</v>
      </c>
      <c r="I86" s="104">
        <v>149.99</v>
      </c>
      <c r="J86" t="s">
        <v>92</v>
      </c>
      <c r="K86" t="s">
        <v>39</v>
      </c>
      <c r="L86" t="s">
        <v>96</v>
      </c>
      <c r="M86" s="103">
        <v>44667</v>
      </c>
      <c r="N86" s="104">
        <v>299.98</v>
      </c>
      <c r="O86" s="105">
        <f t="shared" si="4"/>
        <v>45535</v>
      </c>
      <c r="P86" s="106">
        <f t="shared" si="5"/>
        <v>2</v>
      </c>
      <c r="Q86" s="106">
        <f>COUNTIF($D$2:D86,D86)</f>
        <v>2</v>
      </c>
      <c r="R86" s="106" t="str">
        <f t="shared" si="6"/>
        <v>Repeat</v>
      </c>
      <c r="S86" s="106" t="str">
        <f t="shared" si="7"/>
        <v>BOO</v>
      </c>
      <c r="T86" s="106" t="str">
        <f>IF(AND(OR('Filter Demo'!$C$4="All",K86='Filter Demo'!$C$4),OR('Filter Demo'!$C$5="All",G86='Filter Demo'!$C$5),N86&gt;='Filter Demo'!$C$6),MAX($T$1:T85)+1,"")</f>
        <v/>
      </c>
    </row>
    <row r="87" spans="1:20" x14ac:dyDescent="0.25">
      <c r="A87" t="s">
        <v>544</v>
      </c>
      <c r="B87" s="103">
        <v>45513</v>
      </c>
      <c r="C87" t="s">
        <v>166</v>
      </c>
      <c r="D87" t="s">
        <v>449</v>
      </c>
      <c r="E87" t="s">
        <v>468</v>
      </c>
      <c r="F87" t="s">
        <v>111</v>
      </c>
      <c r="G87" t="s">
        <v>40</v>
      </c>
      <c r="H87">
        <v>1</v>
      </c>
      <c r="I87" s="104">
        <v>89.99</v>
      </c>
      <c r="J87" t="s">
        <v>91</v>
      </c>
      <c r="K87" t="s">
        <v>41</v>
      </c>
      <c r="L87" t="s">
        <v>96</v>
      </c>
      <c r="M87" s="103">
        <v>45393</v>
      </c>
      <c r="N87" s="104">
        <v>89.99</v>
      </c>
      <c r="O87" s="105">
        <f t="shared" si="4"/>
        <v>45535</v>
      </c>
      <c r="P87" s="106">
        <f t="shared" si="5"/>
        <v>0</v>
      </c>
      <c r="Q87" s="106">
        <f>COUNTIF($D$2:D87,D87)</f>
        <v>2</v>
      </c>
      <c r="R87" s="106" t="str">
        <f t="shared" si="6"/>
        <v>Repeat</v>
      </c>
      <c r="S87" s="106" t="str">
        <f t="shared" si="7"/>
        <v>KEY</v>
      </c>
      <c r="T87" s="106" t="str">
        <f>IF(AND(OR('Filter Demo'!$C$4="All",K87='Filter Demo'!$C$4),OR('Filter Demo'!$C$5="All",G87='Filter Demo'!$C$5),N87&gt;='Filter Demo'!$C$6),MAX($T$1:T86)+1,"")</f>
        <v/>
      </c>
    </row>
    <row r="88" spans="1:20" x14ac:dyDescent="0.25">
      <c r="A88" t="s">
        <v>545</v>
      </c>
      <c r="B88" s="103">
        <v>45515</v>
      </c>
      <c r="C88" t="s">
        <v>181</v>
      </c>
      <c r="D88" t="s">
        <v>447</v>
      </c>
      <c r="E88" t="s">
        <v>460</v>
      </c>
      <c r="F88" t="s">
        <v>108</v>
      </c>
      <c r="G88" t="s">
        <v>42</v>
      </c>
      <c r="H88">
        <v>5</v>
      </c>
      <c r="I88" s="104">
        <v>299.99</v>
      </c>
      <c r="J88" t="s">
        <v>91</v>
      </c>
      <c r="K88" t="s">
        <v>41</v>
      </c>
      <c r="L88" t="s">
        <v>95</v>
      </c>
      <c r="M88" s="103">
        <v>44965</v>
      </c>
      <c r="N88" s="104">
        <v>1499.95</v>
      </c>
      <c r="O88" s="105">
        <f t="shared" si="4"/>
        <v>45535</v>
      </c>
      <c r="P88" s="106">
        <f t="shared" si="5"/>
        <v>1</v>
      </c>
      <c r="Q88" s="106">
        <f>COUNTIF($D$2:D88,D88)</f>
        <v>6</v>
      </c>
      <c r="R88" s="106" t="str">
        <f t="shared" si="6"/>
        <v>Repeat</v>
      </c>
      <c r="S88" s="106" t="str">
        <f t="shared" si="7"/>
        <v>DES</v>
      </c>
      <c r="T88" s="106" t="str">
        <f>IF(AND(OR('Filter Demo'!$C$4="All",K88='Filter Demo'!$C$4),OR('Filter Demo'!$C$5="All",G88='Filter Demo'!$C$5),N88&gt;='Filter Demo'!$C$6),MAX($T$1:T87)+1,"")</f>
        <v/>
      </c>
    </row>
    <row r="89" spans="1:20" x14ac:dyDescent="0.25">
      <c r="A89" t="s">
        <v>546</v>
      </c>
      <c r="B89" s="103">
        <v>45517</v>
      </c>
      <c r="C89" t="s">
        <v>163</v>
      </c>
      <c r="D89" t="s">
        <v>518</v>
      </c>
      <c r="E89" t="s">
        <v>426</v>
      </c>
      <c r="F89" t="s">
        <v>104</v>
      </c>
      <c r="G89" t="s">
        <v>40</v>
      </c>
      <c r="H89">
        <v>4</v>
      </c>
      <c r="I89" s="104">
        <v>149.99</v>
      </c>
      <c r="J89" t="s">
        <v>92</v>
      </c>
      <c r="K89" t="s">
        <v>43</v>
      </c>
      <c r="L89" t="s">
        <v>97</v>
      </c>
      <c r="M89" s="103">
        <v>44820</v>
      </c>
      <c r="N89" s="104">
        <v>599.96</v>
      </c>
      <c r="O89" s="105">
        <f t="shared" si="4"/>
        <v>45535</v>
      </c>
      <c r="P89" s="106">
        <f t="shared" si="5"/>
        <v>1</v>
      </c>
      <c r="Q89" s="106">
        <f>COUNTIF($D$2:D89,D89)</f>
        <v>3</v>
      </c>
      <c r="R89" s="106" t="str">
        <f t="shared" si="6"/>
        <v>Repeat</v>
      </c>
      <c r="S89" s="106" t="str">
        <f t="shared" si="7"/>
        <v>HEA</v>
      </c>
      <c r="T89" s="106" t="str">
        <f>IF(AND(OR('Filter Demo'!$C$4="All",K89='Filter Demo'!$C$4),OR('Filter Demo'!$C$5="All",G89='Filter Demo'!$C$5),N89&gt;='Filter Demo'!$C$6),MAX($T$1:T88)+1,"")</f>
        <v/>
      </c>
    </row>
    <row r="90" spans="1:20" x14ac:dyDescent="0.25">
      <c r="A90" t="s">
        <v>547</v>
      </c>
      <c r="B90" s="103">
        <v>45517</v>
      </c>
      <c r="C90" t="s">
        <v>176</v>
      </c>
      <c r="D90" t="s">
        <v>520</v>
      </c>
      <c r="E90" t="s">
        <v>412</v>
      </c>
      <c r="F90" t="s">
        <v>110</v>
      </c>
      <c r="G90" t="s">
        <v>40</v>
      </c>
      <c r="H90">
        <v>5</v>
      </c>
      <c r="I90" s="104">
        <v>249.99</v>
      </c>
      <c r="J90" t="s">
        <v>93</v>
      </c>
      <c r="K90" t="s">
        <v>39</v>
      </c>
      <c r="L90" t="s">
        <v>97</v>
      </c>
      <c r="M90" s="103">
        <v>44782</v>
      </c>
      <c r="N90" s="104">
        <v>1249.95</v>
      </c>
      <c r="O90" s="105">
        <f t="shared" si="4"/>
        <v>45535</v>
      </c>
      <c r="P90" s="106">
        <f t="shared" si="5"/>
        <v>2</v>
      </c>
      <c r="Q90" s="106">
        <f>COUNTIF($D$2:D90,D90)</f>
        <v>2</v>
      </c>
      <c r="R90" s="106" t="str">
        <f t="shared" si="6"/>
        <v>Repeat</v>
      </c>
      <c r="S90" s="106" t="str">
        <f t="shared" si="7"/>
        <v>MON</v>
      </c>
      <c r="T90" s="106">
        <f>IF(AND(OR('Filter Demo'!$C$4="All",K90='Filter Demo'!$C$4),OR('Filter Demo'!$C$5="All",G90='Filter Demo'!$C$5),N90&gt;='Filter Demo'!$C$6),MAX($T$1:T89)+1,"")</f>
        <v>18</v>
      </c>
    </row>
    <row r="91" spans="1:20" x14ac:dyDescent="0.25">
      <c r="A91" t="s">
        <v>548</v>
      </c>
      <c r="B91" s="103">
        <v>45517</v>
      </c>
      <c r="C91" t="s">
        <v>182</v>
      </c>
      <c r="D91" t="s">
        <v>433</v>
      </c>
      <c r="E91" t="s">
        <v>412</v>
      </c>
      <c r="F91" t="s">
        <v>110</v>
      </c>
      <c r="G91" t="s">
        <v>40</v>
      </c>
      <c r="H91">
        <v>3</v>
      </c>
      <c r="I91" s="104">
        <v>249.99</v>
      </c>
      <c r="J91" t="s">
        <v>93</v>
      </c>
      <c r="K91" t="s">
        <v>41</v>
      </c>
      <c r="L91" t="s">
        <v>97</v>
      </c>
      <c r="M91" s="103">
        <v>44465</v>
      </c>
      <c r="N91" s="104">
        <v>749.97</v>
      </c>
      <c r="O91" s="105">
        <f t="shared" si="4"/>
        <v>45535</v>
      </c>
      <c r="P91" s="106">
        <f t="shared" si="5"/>
        <v>2</v>
      </c>
      <c r="Q91" s="106">
        <f>COUNTIF($D$2:D91,D91)</f>
        <v>3</v>
      </c>
      <c r="R91" s="106" t="str">
        <f t="shared" si="6"/>
        <v>Repeat</v>
      </c>
      <c r="S91" s="106" t="str">
        <f t="shared" si="7"/>
        <v>MON</v>
      </c>
      <c r="T91" s="106" t="str">
        <f>IF(AND(OR('Filter Demo'!$C$4="All",K91='Filter Demo'!$C$4),OR('Filter Demo'!$C$5="All",G91='Filter Demo'!$C$5),N91&gt;='Filter Demo'!$C$6),MAX($T$1:T90)+1,"")</f>
        <v/>
      </c>
    </row>
    <row r="92" spans="1:20" x14ac:dyDescent="0.25">
      <c r="A92" t="s">
        <v>549</v>
      </c>
      <c r="B92" s="103">
        <v>45517</v>
      </c>
      <c r="C92" t="s">
        <v>202</v>
      </c>
      <c r="D92" t="s">
        <v>419</v>
      </c>
      <c r="E92" t="s">
        <v>474</v>
      </c>
      <c r="F92" t="s">
        <v>107</v>
      </c>
      <c r="G92" t="s">
        <v>42</v>
      </c>
      <c r="H92">
        <v>4</v>
      </c>
      <c r="I92" s="104">
        <v>199.99</v>
      </c>
      <c r="J92" t="s">
        <v>90</v>
      </c>
      <c r="K92" t="s">
        <v>41</v>
      </c>
      <c r="L92" t="s">
        <v>96</v>
      </c>
      <c r="M92" s="103">
        <v>44458</v>
      </c>
      <c r="N92" s="104">
        <v>799.96</v>
      </c>
      <c r="O92" s="105">
        <f t="shared" si="4"/>
        <v>45535</v>
      </c>
      <c r="P92" s="106">
        <f t="shared" si="5"/>
        <v>2</v>
      </c>
      <c r="Q92" s="106">
        <f>COUNTIF($D$2:D92,D92)</f>
        <v>4</v>
      </c>
      <c r="R92" s="106" t="str">
        <f t="shared" si="6"/>
        <v>Repeat</v>
      </c>
      <c r="S92" s="106" t="str">
        <f t="shared" si="7"/>
        <v>OC</v>
      </c>
      <c r="T92" s="106" t="str">
        <f>IF(AND(OR('Filter Demo'!$C$4="All",K92='Filter Demo'!$C$4),OR('Filter Demo'!$C$5="All",G92='Filter Demo'!$C$5),N92&gt;='Filter Demo'!$C$6),MAX($T$1:T91)+1,"")</f>
        <v/>
      </c>
    </row>
    <row r="93" spans="1:20" x14ac:dyDescent="0.25">
      <c r="A93" t="s">
        <v>550</v>
      </c>
      <c r="B93" s="103">
        <v>45519</v>
      </c>
      <c r="C93" t="s">
        <v>184</v>
      </c>
      <c r="D93" t="s">
        <v>497</v>
      </c>
      <c r="E93" t="s">
        <v>474</v>
      </c>
      <c r="F93" t="s">
        <v>107</v>
      </c>
      <c r="G93" t="s">
        <v>42</v>
      </c>
      <c r="H93">
        <v>5</v>
      </c>
      <c r="I93" s="104">
        <v>199.99</v>
      </c>
      <c r="J93" t="s">
        <v>90</v>
      </c>
      <c r="K93" t="s">
        <v>41</v>
      </c>
      <c r="L93" t="s">
        <v>97</v>
      </c>
      <c r="M93" s="103">
        <v>44991</v>
      </c>
      <c r="N93" s="104">
        <v>999.95</v>
      </c>
      <c r="O93" s="105">
        <f t="shared" si="4"/>
        <v>45535</v>
      </c>
      <c r="P93" s="106">
        <f t="shared" si="5"/>
        <v>1</v>
      </c>
      <c r="Q93" s="106">
        <f>COUNTIF($D$2:D93,D93)</f>
        <v>3</v>
      </c>
      <c r="R93" s="106" t="str">
        <f t="shared" si="6"/>
        <v>Repeat</v>
      </c>
      <c r="S93" s="106" t="str">
        <f t="shared" si="7"/>
        <v>OC</v>
      </c>
      <c r="T93" s="106" t="str">
        <f>IF(AND(OR('Filter Demo'!$C$4="All",K93='Filter Demo'!$C$4),OR('Filter Demo'!$C$5="All",G93='Filter Demo'!$C$5),N93&gt;='Filter Demo'!$C$6),MAX($T$1:T92)+1,"")</f>
        <v/>
      </c>
    </row>
    <row r="94" spans="1:20" x14ac:dyDescent="0.25">
      <c r="A94" t="s">
        <v>551</v>
      </c>
      <c r="B94" s="103">
        <v>45522</v>
      </c>
      <c r="C94" t="s">
        <v>181</v>
      </c>
      <c r="D94" t="s">
        <v>447</v>
      </c>
      <c r="E94" t="s">
        <v>468</v>
      </c>
      <c r="F94" t="s">
        <v>111</v>
      </c>
      <c r="G94" t="s">
        <v>40</v>
      </c>
      <c r="H94">
        <v>2</v>
      </c>
      <c r="I94" s="104">
        <v>89.99</v>
      </c>
      <c r="J94" t="s">
        <v>90</v>
      </c>
      <c r="K94" t="s">
        <v>39</v>
      </c>
      <c r="L94" t="s">
        <v>97</v>
      </c>
      <c r="M94" s="103">
        <v>44972</v>
      </c>
      <c r="N94" s="104">
        <v>179.98</v>
      </c>
      <c r="O94" s="105">
        <f t="shared" si="4"/>
        <v>45535</v>
      </c>
      <c r="P94" s="106">
        <f t="shared" si="5"/>
        <v>1</v>
      </c>
      <c r="Q94" s="106">
        <f>COUNTIF($D$2:D94,D94)</f>
        <v>7</v>
      </c>
      <c r="R94" s="106" t="str">
        <f t="shared" si="6"/>
        <v>Repeat</v>
      </c>
      <c r="S94" s="106" t="str">
        <f t="shared" si="7"/>
        <v>KEY</v>
      </c>
      <c r="T94" s="106" t="str">
        <f>IF(AND(OR('Filter Demo'!$C$4="All",K94='Filter Demo'!$C$4),OR('Filter Demo'!$C$5="All",G94='Filter Demo'!$C$5),N94&gt;='Filter Demo'!$C$6),MAX($T$1:T93)+1,"")</f>
        <v/>
      </c>
    </row>
    <row r="95" spans="1:20" x14ac:dyDescent="0.25">
      <c r="A95" t="s">
        <v>552</v>
      </c>
      <c r="B95" s="103">
        <v>45523</v>
      </c>
      <c r="C95" t="s">
        <v>203</v>
      </c>
      <c r="D95" t="s">
        <v>529</v>
      </c>
      <c r="E95" t="s">
        <v>431</v>
      </c>
      <c r="F95" t="s">
        <v>102</v>
      </c>
      <c r="G95" t="s">
        <v>40</v>
      </c>
      <c r="H95">
        <v>5</v>
      </c>
      <c r="I95" s="104">
        <v>899.99</v>
      </c>
      <c r="J95" t="s">
        <v>92</v>
      </c>
      <c r="K95" t="s">
        <v>39</v>
      </c>
      <c r="L95" t="s">
        <v>95</v>
      </c>
      <c r="M95" s="103">
        <v>44526</v>
      </c>
      <c r="N95" s="104">
        <v>4499.95</v>
      </c>
      <c r="O95" s="105">
        <f t="shared" si="4"/>
        <v>45535</v>
      </c>
      <c r="P95" s="106">
        <f t="shared" si="5"/>
        <v>2</v>
      </c>
      <c r="Q95" s="106">
        <f>COUNTIF($D$2:D95,D95)</f>
        <v>3</v>
      </c>
      <c r="R95" s="106" t="str">
        <f t="shared" si="6"/>
        <v>Repeat</v>
      </c>
      <c r="S95" s="106" t="str">
        <f t="shared" si="7"/>
        <v>LAP</v>
      </c>
      <c r="T95" s="106">
        <f>IF(AND(OR('Filter Demo'!$C$4="All",K95='Filter Demo'!$C$4),OR('Filter Demo'!$C$5="All",G95='Filter Demo'!$C$5),N95&gt;='Filter Demo'!$C$6),MAX($T$1:T94)+1,"")</f>
        <v>19</v>
      </c>
    </row>
    <row r="96" spans="1:20" x14ac:dyDescent="0.25">
      <c r="A96" t="s">
        <v>553</v>
      </c>
      <c r="B96" s="103">
        <v>45523</v>
      </c>
      <c r="C96" t="s">
        <v>192</v>
      </c>
      <c r="D96" t="s">
        <v>462</v>
      </c>
      <c r="E96" t="s">
        <v>426</v>
      </c>
      <c r="F96" t="s">
        <v>104</v>
      </c>
      <c r="G96" t="s">
        <v>40</v>
      </c>
      <c r="H96">
        <v>3</v>
      </c>
      <c r="I96" s="104">
        <v>149.99</v>
      </c>
      <c r="J96" t="s">
        <v>93</v>
      </c>
      <c r="K96" t="s">
        <v>39</v>
      </c>
      <c r="L96" t="s">
        <v>95</v>
      </c>
      <c r="M96" s="103">
        <v>44574</v>
      </c>
      <c r="N96" s="104">
        <v>449.97</v>
      </c>
      <c r="O96" s="105">
        <f t="shared" si="4"/>
        <v>45535</v>
      </c>
      <c r="P96" s="106">
        <f t="shared" si="5"/>
        <v>2</v>
      </c>
      <c r="Q96" s="106">
        <f>COUNTIF($D$2:D96,D96)</f>
        <v>2</v>
      </c>
      <c r="R96" s="106" t="str">
        <f t="shared" si="6"/>
        <v>Repeat</v>
      </c>
      <c r="S96" s="106" t="str">
        <f t="shared" si="7"/>
        <v>HEA</v>
      </c>
      <c r="T96" s="106" t="str">
        <f>IF(AND(OR('Filter Demo'!$C$4="All",K96='Filter Demo'!$C$4),OR('Filter Demo'!$C$5="All",G96='Filter Demo'!$C$5),N96&gt;='Filter Demo'!$C$6),MAX($T$1:T95)+1,"")</f>
        <v/>
      </c>
    </row>
    <row r="97" spans="1:20" x14ac:dyDescent="0.25">
      <c r="A97" t="s">
        <v>554</v>
      </c>
      <c r="B97" s="103">
        <v>45526</v>
      </c>
      <c r="C97" t="s">
        <v>200</v>
      </c>
      <c r="D97" t="s">
        <v>458</v>
      </c>
      <c r="E97" t="s">
        <v>422</v>
      </c>
      <c r="F97" t="s">
        <v>109</v>
      </c>
      <c r="G97" t="s">
        <v>42</v>
      </c>
      <c r="H97">
        <v>5</v>
      </c>
      <c r="I97" s="104">
        <v>149.99</v>
      </c>
      <c r="J97" t="s">
        <v>91</v>
      </c>
      <c r="K97" t="s">
        <v>37</v>
      </c>
      <c r="L97" t="s">
        <v>95</v>
      </c>
      <c r="M97" s="103">
        <v>45310</v>
      </c>
      <c r="N97" s="104">
        <v>749.95</v>
      </c>
      <c r="O97" s="105">
        <f t="shared" si="4"/>
        <v>45535</v>
      </c>
      <c r="P97" s="106">
        <f t="shared" si="5"/>
        <v>0</v>
      </c>
      <c r="Q97" s="106">
        <f>COUNTIF($D$2:D97,D97)</f>
        <v>3</v>
      </c>
      <c r="R97" s="106" t="str">
        <f t="shared" si="6"/>
        <v>Repeat</v>
      </c>
      <c r="S97" s="106" t="str">
        <f t="shared" si="7"/>
        <v>BOO</v>
      </c>
      <c r="T97" s="106" t="str">
        <f>IF(AND(OR('Filter Demo'!$C$4="All",K97='Filter Demo'!$C$4),OR('Filter Demo'!$C$5="All",G97='Filter Demo'!$C$5),N97&gt;='Filter Demo'!$C$6),MAX($T$1:T96)+1,"")</f>
        <v/>
      </c>
    </row>
    <row r="98" spans="1:20" x14ac:dyDescent="0.25">
      <c r="A98" t="s">
        <v>280</v>
      </c>
      <c r="B98" s="103">
        <v>45528</v>
      </c>
      <c r="C98" t="s">
        <v>195</v>
      </c>
      <c r="D98" t="s">
        <v>555</v>
      </c>
      <c r="E98" t="s">
        <v>466</v>
      </c>
      <c r="F98" t="s">
        <v>105</v>
      </c>
      <c r="G98" t="s">
        <v>38</v>
      </c>
      <c r="H98">
        <v>3</v>
      </c>
      <c r="I98" s="104">
        <v>79.989999999999995</v>
      </c>
      <c r="J98" t="s">
        <v>90</v>
      </c>
      <c r="K98" t="s">
        <v>37</v>
      </c>
      <c r="L98" t="s">
        <v>97</v>
      </c>
      <c r="M98" s="103">
        <v>44779</v>
      </c>
      <c r="N98" s="104">
        <v>239.97</v>
      </c>
      <c r="O98" s="105">
        <f t="shared" si="4"/>
        <v>45535</v>
      </c>
      <c r="P98" s="106">
        <f t="shared" si="5"/>
        <v>2</v>
      </c>
      <c r="Q98" s="106">
        <f>COUNTIF($D$2:D98,D98)</f>
        <v>1</v>
      </c>
      <c r="R98" s="106" t="str">
        <f t="shared" si="6"/>
        <v>Repeat</v>
      </c>
      <c r="S98" s="106" t="str">
        <f t="shared" si="7"/>
        <v>CM</v>
      </c>
      <c r="T98" s="106" t="str">
        <f>IF(AND(OR('Filter Demo'!$C$4="All",K98='Filter Demo'!$C$4),OR('Filter Demo'!$C$5="All",G98='Filter Demo'!$C$5),N98&gt;='Filter Demo'!$C$6),MAX($T$1:T97)+1,"")</f>
        <v/>
      </c>
    </row>
    <row r="99" spans="1:20" x14ac:dyDescent="0.25">
      <c r="A99" t="s">
        <v>556</v>
      </c>
      <c r="B99" s="103">
        <v>45528</v>
      </c>
      <c r="C99" t="s">
        <v>191</v>
      </c>
      <c r="D99" t="s">
        <v>487</v>
      </c>
      <c r="E99" t="s">
        <v>412</v>
      </c>
      <c r="F99" t="s">
        <v>110</v>
      </c>
      <c r="G99" t="s">
        <v>40</v>
      </c>
      <c r="H99">
        <v>2</v>
      </c>
      <c r="I99" s="104">
        <v>249.99</v>
      </c>
      <c r="J99" t="s">
        <v>90</v>
      </c>
      <c r="K99" t="s">
        <v>43</v>
      </c>
      <c r="L99" t="s">
        <v>96</v>
      </c>
      <c r="M99" s="103">
        <v>44572</v>
      </c>
      <c r="N99" s="104">
        <v>499.98</v>
      </c>
      <c r="O99" s="105">
        <f t="shared" si="4"/>
        <v>45535</v>
      </c>
      <c r="P99" s="106">
        <f t="shared" si="5"/>
        <v>2</v>
      </c>
      <c r="Q99" s="106">
        <f>COUNTIF($D$2:D99,D99)</f>
        <v>2</v>
      </c>
      <c r="R99" s="106" t="str">
        <f t="shared" si="6"/>
        <v>Repeat</v>
      </c>
      <c r="S99" s="106" t="str">
        <f t="shared" si="7"/>
        <v>MON</v>
      </c>
      <c r="T99" s="106" t="str">
        <f>IF(AND(OR('Filter Demo'!$C$4="All",K99='Filter Demo'!$C$4),OR('Filter Demo'!$C$5="All",G99='Filter Demo'!$C$5),N99&gt;='Filter Demo'!$C$6),MAX($T$1:T98)+1,"")</f>
        <v/>
      </c>
    </row>
    <row r="100" spans="1:20" x14ac:dyDescent="0.25">
      <c r="A100" t="s">
        <v>557</v>
      </c>
      <c r="B100" s="103">
        <v>45532</v>
      </c>
      <c r="C100" t="s">
        <v>203</v>
      </c>
      <c r="D100" t="s">
        <v>529</v>
      </c>
      <c r="E100" t="s">
        <v>443</v>
      </c>
      <c r="F100" t="s">
        <v>103</v>
      </c>
      <c r="G100" t="s">
        <v>40</v>
      </c>
      <c r="H100">
        <v>1</v>
      </c>
      <c r="I100" s="104">
        <v>699.99</v>
      </c>
      <c r="J100" t="s">
        <v>90</v>
      </c>
      <c r="K100" t="s">
        <v>37</v>
      </c>
      <c r="L100" t="s">
        <v>97</v>
      </c>
      <c r="M100" s="103">
        <v>44497</v>
      </c>
      <c r="N100" s="104">
        <v>699.99</v>
      </c>
      <c r="O100" s="105">
        <f t="shared" si="4"/>
        <v>45535</v>
      </c>
      <c r="P100" s="106">
        <f t="shared" si="5"/>
        <v>2</v>
      </c>
      <c r="Q100" s="106">
        <f>COUNTIF($D$2:D100,D100)</f>
        <v>4</v>
      </c>
      <c r="R100" s="106" t="str">
        <f t="shared" si="6"/>
        <v>Repeat</v>
      </c>
      <c r="S100" s="106" t="str">
        <f t="shared" si="7"/>
        <v>SMA</v>
      </c>
      <c r="T100" s="106" t="str">
        <f>IF(AND(OR('Filter Demo'!$C$4="All",K100='Filter Demo'!$C$4),OR('Filter Demo'!$C$5="All",G100='Filter Demo'!$C$5),N100&gt;='Filter Demo'!$C$6),MAX($T$1:T99)+1,"")</f>
        <v/>
      </c>
    </row>
    <row r="101" spans="1:20" x14ac:dyDescent="0.25">
      <c r="A101" t="s">
        <v>558</v>
      </c>
      <c r="B101" s="103">
        <v>45532</v>
      </c>
      <c r="C101" t="s">
        <v>190</v>
      </c>
      <c r="D101" t="s">
        <v>559</v>
      </c>
      <c r="E101" t="s">
        <v>426</v>
      </c>
      <c r="F101" t="s">
        <v>104</v>
      </c>
      <c r="G101" t="s">
        <v>40</v>
      </c>
      <c r="H101">
        <v>3</v>
      </c>
      <c r="I101" s="104">
        <v>149.99</v>
      </c>
      <c r="J101" t="s">
        <v>90</v>
      </c>
      <c r="K101" t="s">
        <v>44</v>
      </c>
      <c r="L101" t="s">
        <v>97</v>
      </c>
      <c r="M101" s="103">
        <v>45212</v>
      </c>
      <c r="N101" s="104">
        <v>449.97</v>
      </c>
      <c r="O101" s="105">
        <f t="shared" si="4"/>
        <v>45535</v>
      </c>
      <c r="P101" s="106">
        <f t="shared" si="5"/>
        <v>0</v>
      </c>
      <c r="Q101" s="106">
        <f>COUNTIF($D$2:D101,D101)</f>
        <v>1</v>
      </c>
      <c r="R101" s="106" t="str">
        <f t="shared" si="6"/>
        <v>Repeat</v>
      </c>
      <c r="S101" s="106" t="str">
        <f t="shared" si="7"/>
        <v>HEA</v>
      </c>
      <c r="T101" s="106" t="str">
        <f>IF(AND(OR('Filter Demo'!$C$4="All",K101='Filter Demo'!$C$4),OR('Filter Demo'!$C$5="All",G101='Filter Demo'!$C$5),N101&gt;='Filter Demo'!$C$6),MAX($T$1:T100)+1,"")</f>
        <v/>
      </c>
    </row>
    <row r="102" spans="1:20" x14ac:dyDescent="0.25">
      <c r="A102" t="s">
        <v>560</v>
      </c>
      <c r="B102" s="103">
        <v>45534</v>
      </c>
      <c r="C102" t="s">
        <v>188</v>
      </c>
      <c r="D102" t="s">
        <v>561</v>
      </c>
      <c r="E102" t="s">
        <v>443</v>
      </c>
      <c r="F102" t="s">
        <v>103</v>
      </c>
      <c r="G102" t="s">
        <v>40</v>
      </c>
      <c r="H102">
        <v>2</v>
      </c>
      <c r="I102" s="104">
        <v>699.99</v>
      </c>
      <c r="J102" t="s">
        <v>91</v>
      </c>
      <c r="K102" t="s">
        <v>41</v>
      </c>
      <c r="L102" t="s">
        <v>97</v>
      </c>
      <c r="M102" s="103">
        <v>44421</v>
      </c>
      <c r="N102" s="104">
        <v>1399.98</v>
      </c>
      <c r="O102" s="105">
        <f t="shared" si="4"/>
        <v>45535</v>
      </c>
      <c r="P102" s="106">
        <f t="shared" si="5"/>
        <v>3</v>
      </c>
      <c r="Q102" s="106">
        <f>COUNTIF($D$2:D102,D102)</f>
        <v>1</v>
      </c>
      <c r="R102" s="106" t="str">
        <f t="shared" si="6"/>
        <v>Repeat</v>
      </c>
      <c r="S102" s="106" t="str">
        <f t="shared" si="7"/>
        <v>SMA</v>
      </c>
      <c r="T102" s="106">
        <f>IF(AND(OR('Filter Demo'!$C$4="All",K102='Filter Demo'!$C$4),OR('Filter Demo'!$C$5="All",G102='Filter Demo'!$C$5),N102&gt;='Filter Demo'!$C$6),MAX($T$1:T101)+1,"")</f>
        <v>20</v>
      </c>
    </row>
    <row r="103" spans="1:20" x14ac:dyDescent="0.25">
      <c r="A103" t="s">
        <v>562</v>
      </c>
      <c r="B103" s="103">
        <v>45537</v>
      </c>
      <c r="C103" t="s">
        <v>190</v>
      </c>
      <c r="D103" t="s">
        <v>559</v>
      </c>
      <c r="E103" t="s">
        <v>412</v>
      </c>
      <c r="F103" t="s">
        <v>110</v>
      </c>
      <c r="G103" t="s">
        <v>40</v>
      </c>
      <c r="H103">
        <v>1</v>
      </c>
      <c r="I103" s="104">
        <v>249.99</v>
      </c>
      <c r="J103" t="s">
        <v>91</v>
      </c>
      <c r="K103" t="s">
        <v>44</v>
      </c>
      <c r="L103" t="s">
        <v>97</v>
      </c>
      <c r="M103" s="103">
        <v>44685</v>
      </c>
      <c r="N103" s="104">
        <v>249.99</v>
      </c>
      <c r="O103" s="105">
        <f t="shared" si="4"/>
        <v>45565</v>
      </c>
      <c r="P103" s="106">
        <f t="shared" si="5"/>
        <v>2</v>
      </c>
      <c r="Q103" s="106">
        <f>COUNTIF($D$2:D103,D103)</f>
        <v>2</v>
      </c>
      <c r="R103" s="106" t="str">
        <f t="shared" si="6"/>
        <v>Repeat</v>
      </c>
      <c r="S103" s="106" t="str">
        <f t="shared" si="7"/>
        <v>MON</v>
      </c>
      <c r="T103" s="106" t="str">
        <f>IF(AND(OR('Filter Demo'!$C$4="All",K103='Filter Demo'!$C$4),OR('Filter Demo'!$C$5="All",G103='Filter Demo'!$C$5),N103&gt;='Filter Demo'!$C$6),MAX($T$1:T102)+1,"")</f>
        <v/>
      </c>
    </row>
    <row r="104" spans="1:20" x14ac:dyDescent="0.25">
      <c r="A104" t="s">
        <v>563</v>
      </c>
      <c r="B104" s="103">
        <v>45537</v>
      </c>
      <c r="C104" t="s">
        <v>179</v>
      </c>
      <c r="D104" t="s">
        <v>411</v>
      </c>
      <c r="E104" t="s">
        <v>412</v>
      </c>
      <c r="F104" t="s">
        <v>110</v>
      </c>
      <c r="G104" t="s">
        <v>40</v>
      </c>
      <c r="H104">
        <v>1</v>
      </c>
      <c r="I104" s="104">
        <v>249.99</v>
      </c>
      <c r="J104" t="s">
        <v>92</v>
      </c>
      <c r="K104" t="s">
        <v>41</v>
      </c>
      <c r="L104" t="s">
        <v>97</v>
      </c>
      <c r="M104" s="103">
        <v>45332</v>
      </c>
      <c r="N104" s="104">
        <v>249.99</v>
      </c>
      <c r="O104" s="105">
        <f t="shared" si="4"/>
        <v>45565</v>
      </c>
      <c r="P104" s="106">
        <f t="shared" si="5"/>
        <v>0</v>
      </c>
      <c r="Q104" s="106">
        <f>COUNTIF($D$2:D104,D104)</f>
        <v>3</v>
      </c>
      <c r="R104" s="106" t="str">
        <f t="shared" si="6"/>
        <v>Repeat</v>
      </c>
      <c r="S104" s="106" t="str">
        <f t="shared" si="7"/>
        <v>MON</v>
      </c>
      <c r="T104" s="106" t="str">
        <f>IF(AND(OR('Filter Demo'!$C$4="All",K104='Filter Demo'!$C$4),OR('Filter Demo'!$C$5="All",G104='Filter Demo'!$C$5),N104&gt;='Filter Demo'!$C$6),MAX($T$1:T103)+1,"")</f>
        <v/>
      </c>
    </row>
    <row r="105" spans="1:20" x14ac:dyDescent="0.25">
      <c r="A105" t="s">
        <v>564</v>
      </c>
      <c r="B105" s="103">
        <v>45538</v>
      </c>
      <c r="C105" t="s">
        <v>195</v>
      </c>
      <c r="D105" t="s">
        <v>555</v>
      </c>
      <c r="E105" t="s">
        <v>443</v>
      </c>
      <c r="F105" t="s">
        <v>103</v>
      </c>
      <c r="G105" t="s">
        <v>40</v>
      </c>
      <c r="H105">
        <v>2</v>
      </c>
      <c r="I105" s="104">
        <v>699.99</v>
      </c>
      <c r="J105" t="s">
        <v>92</v>
      </c>
      <c r="K105" t="s">
        <v>37</v>
      </c>
      <c r="L105" t="s">
        <v>97</v>
      </c>
      <c r="M105" s="103">
        <v>44870</v>
      </c>
      <c r="N105" s="104">
        <v>1399.98</v>
      </c>
      <c r="O105" s="105">
        <f t="shared" si="4"/>
        <v>45565</v>
      </c>
      <c r="P105" s="106">
        <f t="shared" si="5"/>
        <v>1</v>
      </c>
      <c r="Q105" s="106">
        <f>COUNTIF($D$2:D105,D105)</f>
        <v>2</v>
      </c>
      <c r="R105" s="106" t="str">
        <f t="shared" si="6"/>
        <v>Repeat</v>
      </c>
      <c r="S105" s="106" t="str">
        <f t="shared" si="7"/>
        <v>SMA</v>
      </c>
      <c r="T105" s="106">
        <f>IF(AND(OR('Filter Demo'!$C$4="All",K105='Filter Demo'!$C$4),OR('Filter Demo'!$C$5="All",G105='Filter Demo'!$C$5),N105&gt;='Filter Demo'!$C$6),MAX($T$1:T104)+1,"")</f>
        <v>21</v>
      </c>
    </row>
    <row r="106" spans="1:20" x14ac:dyDescent="0.25">
      <c r="A106" t="s">
        <v>565</v>
      </c>
      <c r="B106" s="103">
        <v>45541</v>
      </c>
      <c r="C106" t="s">
        <v>187</v>
      </c>
      <c r="D106" t="s">
        <v>483</v>
      </c>
      <c r="E106" t="s">
        <v>417</v>
      </c>
      <c r="F106" t="s">
        <v>106</v>
      </c>
      <c r="G106" t="s">
        <v>38</v>
      </c>
      <c r="H106">
        <v>3</v>
      </c>
      <c r="I106" s="104">
        <v>59.99</v>
      </c>
      <c r="J106" t="s">
        <v>91</v>
      </c>
      <c r="K106" t="s">
        <v>37</v>
      </c>
      <c r="L106" t="s">
        <v>97</v>
      </c>
      <c r="M106" s="103">
        <v>44717</v>
      </c>
      <c r="N106" s="104">
        <v>179.97</v>
      </c>
      <c r="O106" s="105">
        <f t="shared" si="4"/>
        <v>45565</v>
      </c>
      <c r="P106" s="106">
        <f t="shared" si="5"/>
        <v>2</v>
      </c>
      <c r="Q106" s="106">
        <f>COUNTIF($D$2:D106,D106)</f>
        <v>2</v>
      </c>
      <c r="R106" s="106" t="str">
        <f t="shared" si="6"/>
        <v>Repeat</v>
      </c>
      <c r="S106" s="106" t="str">
        <f t="shared" si="7"/>
        <v>BLE</v>
      </c>
      <c r="T106" s="106" t="str">
        <f>IF(AND(OR('Filter Demo'!$C$4="All",K106='Filter Demo'!$C$4),OR('Filter Demo'!$C$5="All",G106='Filter Demo'!$C$5),N106&gt;='Filter Demo'!$C$6),MAX($T$1:T105)+1,"")</f>
        <v/>
      </c>
    </row>
    <row r="107" spans="1:20" x14ac:dyDescent="0.25">
      <c r="A107" t="s">
        <v>566</v>
      </c>
      <c r="B107" s="103">
        <v>45544</v>
      </c>
      <c r="C107" t="s">
        <v>158</v>
      </c>
      <c r="D107" t="s">
        <v>478</v>
      </c>
      <c r="E107" t="s">
        <v>417</v>
      </c>
      <c r="F107" t="s">
        <v>106</v>
      </c>
      <c r="G107" t="s">
        <v>38</v>
      </c>
      <c r="H107">
        <v>3</v>
      </c>
      <c r="I107" s="104">
        <v>59.99</v>
      </c>
      <c r="J107" t="s">
        <v>93</v>
      </c>
      <c r="K107" t="s">
        <v>39</v>
      </c>
      <c r="L107" t="s">
        <v>96</v>
      </c>
      <c r="M107" s="103">
        <v>44748</v>
      </c>
      <c r="N107" s="104">
        <v>179.97</v>
      </c>
      <c r="O107" s="105">
        <f t="shared" si="4"/>
        <v>45565</v>
      </c>
      <c r="P107" s="106">
        <f t="shared" si="5"/>
        <v>2</v>
      </c>
      <c r="Q107" s="106">
        <f>COUNTIF($D$2:D107,D107)</f>
        <v>3</v>
      </c>
      <c r="R107" s="106" t="str">
        <f t="shared" si="6"/>
        <v>Repeat</v>
      </c>
      <c r="S107" s="106" t="str">
        <f t="shared" si="7"/>
        <v>BLE</v>
      </c>
      <c r="T107" s="106" t="str">
        <f>IF(AND(OR('Filter Demo'!$C$4="All",K107='Filter Demo'!$C$4),OR('Filter Demo'!$C$5="All",G107='Filter Demo'!$C$5),N107&gt;='Filter Demo'!$C$6),MAX($T$1:T106)+1,"")</f>
        <v/>
      </c>
    </row>
    <row r="108" spans="1:20" x14ac:dyDescent="0.25">
      <c r="A108" t="s">
        <v>567</v>
      </c>
      <c r="B108" s="103">
        <v>45544</v>
      </c>
      <c r="C108" t="s">
        <v>164</v>
      </c>
      <c r="D108" t="s">
        <v>485</v>
      </c>
      <c r="E108" t="s">
        <v>466</v>
      </c>
      <c r="F108" t="s">
        <v>105</v>
      </c>
      <c r="G108" t="s">
        <v>38</v>
      </c>
      <c r="H108">
        <v>4</v>
      </c>
      <c r="I108" s="104">
        <v>79.989999999999995</v>
      </c>
      <c r="J108" t="s">
        <v>90</v>
      </c>
      <c r="K108" t="s">
        <v>41</v>
      </c>
      <c r="L108" t="s">
        <v>95</v>
      </c>
      <c r="M108" s="103">
        <v>44530</v>
      </c>
      <c r="N108" s="104">
        <v>319.95999999999998</v>
      </c>
      <c r="O108" s="105">
        <f t="shared" si="4"/>
        <v>45565</v>
      </c>
      <c r="P108" s="106">
        <f t="shared" si="5"/>
        <v>2</v>
      </c>
      <c r="Q108" s="106">
        <f>COUNTIF($D$2:D108,D108)</f>
        <v>3</v>
      </c>
      <c r="R108" s="106" t="str">
        <f t="shared" si="6"/>
        <v>Repeat</v>
      </c>
      <c r="S108" s="106" t="str">
        <f t="shared" si="7"/>
        <v>CM</v>
      </c>
      <c r="T108" s="106" t="str">
        <f>IF(AND(OR('Filter Demo'!$C$4="All",K108='Filter Demo'!$C$4),OR('Filter Demo'!$C$5="All",G108='Filter Demo'!$C$5),N108&gt;='Filter Demo'!$C$6),MAX($T$1:T107)+1,"")</f>
        <v/>
      </c>
    </row>
    <row r="109" spans="1:20" x14ac:dyDescent="0.25">
      <c r="A109" t="s">
        <v>568</v>
      </c>
      <c r="B109" s="103">
        <v>45545</v>
      </c>
      <c r="C109" t="s">
        <v>173</v>
      </c>
      <c r="D109" t="s">
        <v>428</v>
      </c>
      <c r="E109" t="s">
        <v>466</v>
      </c>
      <c r="F109" t="s">
        <v>105</v>
      </c>
      <c r="G109" t="s">
        <v>38</v>
      </c>
      <c r="H109">
        <v>1</v>
      </c>
      <c r="I109" s="104">
        <v>79.989999999999995</v>
      </c>
      <c r="J109" t="s">
        <v>90</v>
      </c>
      <c r="K109" t="s">
        <v>44</v>
      </c>
      <c r="L109" t="s">
        <v>95</v>
      </c>
      <c r="M109" s="103">
        <v>44693</v>
      </c>
      <c r="N109" s="104">
        <v>79.989999999999995</v>
      </c>
      <c r="O109" s="105">
        <f t="shared" si="4"/>
        <v>45565</v>
      </c>
      <c r="P109" s="106">
        <f t="shared" si="5"/>
        <v>2</v>
      </c>
      <c r="Q109" s="106">
        <f>COUNTIF($D$2:D109,D109)</f>
        <v>5</v>
      </c>
      <c r="R109" s="106" t="str">
        <f t="shared" si="6"/>
        <v>Repeat</v>
      </c>
      <c r="S109" s="106" t="str">
        <f t="shared" si="7"/>
        <v>CM</v>
      </c>
      <c r="T109" s="106" t="str">
        <f>IF(AND(OR('Filter Demo'!$C$4="All",K109='Filter Demo'!$C$4),OR('Filter Demo'!$C$5="All",G109='Filter Demo'!$C$5),N109&gt;='Filter Demo'!$C$6),MAX($T$1:T108)+1,"")</f>
        <v/>
      </c>
    </row>
    <row r="110" spans="1:20" x14ac:dyDescent="0.25">
      <c r="A110" t="s">
        <v>569</v>
      </c>
      <c r="B110" s="103">
        <v>45547</v>
      </c>
      <c r="C110" t="s">
        <v>180</v>
      </c>
      <c r="D110" t="s">
        <v>424</v>
      </c>
      <c r="E110" t="s">
        <v>460</v>
      </c>
      <c r="F110" t="s">
        <v>108</v>
      </c>
      <c r="G110" t="s">
        <v>42</v>
      </c>
      <c r="H110">
        <v>3</v>
      </c>
      <c r="I110" s="104">
        <v>299.99</v>
      </c>
      <c r="J110" t="s">
        <v>91</v>
      </c>
      <c r="K110" t="s">
        <v>37</v>
      </c>
      <c r="L110" t="s">
        <v>97</v>
      </c>
      <c r="M110" s="103">
        <v>44494</v>
      </c>
      <c r="N110" s="104">
        <v>899.97</v>
      </c>
      <c r="O110" s="105">
        <f t="shared" si="4"/>
        <v>45565</v>
      </c>
      <c r="P110" s="106">
        <f t="shared" si="5"/>
        <v>2</v>
      </c>
      <c r="Q110" s="106">
        <f>COUNTIF($D$2:D110,D110)</f>
        <v>3</v>
      </c>
      <c r="R110" s="106" t="str">
        <f t="shared" si="6"/>
        <v>Repeat</v>
      </c>
      <c r="S110" s="106" t="str">
        <f t="shared" si="7"/>
        <v>DES</v>
      </c>
      <c r="T110" s="106" t="str">
        <f>IF(AND(OR('Filter Demo'!$C$4="All",K110='Filter Demo'!$C$4),OR('Filter Demo'!$C$5="All",G110='Filter Demo'!$C$5),N110&gt;='Filter Demo'!$C$6),MAX($T$1:T109)+1,"")</f>
        <v/>
      </c>
    </row>
    <row r="111" spans="1:20" x14ac:dyDescent="0.25">
      <c r="A111" t="s">
        <v>570</v>
      </c>
      <c r="B111" s="103">
        <v>45548</v>
      </c>
      <c r="C111" t="s">
        <v>202</v>
      </c>
      <c r="D111" t="s">
        <v>419</v>
      </c>
      <c r="E111" t="s">
        <v>468</v>
      </c>
      <c r="F111" t="s">
        <v>111</v>
      </c>
      <c r="G111" t="s">
        <v>40</v>
      </c>
      <c r="H111">
        <v>2</v>
      </c>
      <c r="I111" s="104">
        <v>89.99</v>
      </c>
      <c r="J111" t="s">
        <v>91</v>
      </c>
      <c r="K111" t="s">
        <v>43</v>
      </c>
      <c r="L111" t="s">
        <v>97</v>
      </c>
      <c r="M111" s="103">
        <v>44641</v>
      </c>
      <c r="N111" s="104">
        <v>179.98</v>
      </c>
      <c r="O111" s="105">
        <f t="shared" si="4"/>
        <v>45565</v>
      </c>
      <c r="P111" s="106">
        <f t="shared" si="5"/>
        <v>2</v>
      </c>
      <c r="Q111" s="106">
        <f>COUNTIF($D$2:D111,D111)</f>
        <v>5</v>
      </c>
      <c r="R111" s="106" t="str">
        <f t="shared" si="6"/>
        <v>Repeat</v>
      </c>
      <c r="S111" s="106" t="str">
        <f t="shared" si="7"/>
        <v>KEY</v>
      </c>
      <c r="T111" s="106" t="str">
        <f>IF(AND(OR('Filter Demo'!$C$4="All",K111='Filter Demo'!$C$4),OR('Filter Demo'!$C$5="All",G111='Filter Demo'!$C$5),N111&gt;='Filter Demo'!$C$6),MAX($T$1:T110)+1,"")</f>
        <v/>
      </c>
    </row>
    <row r="112" spans="1:20" x14ac:dyDescent="0.25">
      <c r="A112" t="s">
        <v>571</v>
      </c>
      <c r="B112" s="103">
        <v>45550</v>
      </c>
      <c r="C112" t="s">
        <v>198</v>
      </c>
      <c r="D112" t="s">
        <v>572</v>
      </c>
      <c r="E112" t="s">
        <v>426</v>
      </c>
      <c r="F112" t="s">
        <v>104</v>
      </c>
      <c r="G112" t="s">
        <v>40</v>
      </c>
      <c r="H112">
        <v>4</v>
      </c>
      <c r="I112" s="104">
        <v>149.99</v>
      </c>
      <c r="J112" t="s">
        <v>90</v>
      </c>
      <c r="K112" t="s">
        <v>41</v>
      </c>
      <c r="L112" t="s">
        <v>95</v>
      </c>
      <c r="M112" s="103">
        <v>44909</v>
      </c>
      <c r="N112" s="104">
        <v>599.96</v>
      </c>
      <c r="O112" s="105">
        <f t="shared" si="4"/>
        <v>45565</v>
      </c>
      <c r="P112" s="106">
        <f t="shared" si="5"/>
        <v>1</v>
      </c>
      <c r="Q112" s="106">
        <f>COUNTIF($D$2:D112,D112)</f>
        <v>1</v>
      </c>
      <c r="R112" s="106" t="str">
        <f t="shared" si="6"/>
        <v>Repeat</v>
      </c>
      <c r="S112" s="106" t="str">
        <f t="shared" si="7"/>
        <v>HEA</v>
      </c>
      <c r="T112" s="106" t="str">
        <f>IF(AND(OR('Filter Demo'!$C$4="All",K112='Filter Demo'!$C$4),OR('Filter Demo'!$C$5="All",G112='Filter Demo'!$C$5),N112&gt;='Filter Demo'!$C$6),MAX($T$1:T111)+1,"")</f>
        <v/>
      </c>
    </row>
    <row r="113" spans="1:20" x14ac:dyDescent="0.25">
      <c r="A113" t="s">
        <v>573</v>
      </c>
      <c r="B113" s="103">
        <v>45551</v>
      </c>
      <c r="C113" t="s">
        <v>182</v>
      </c>
      <c r="D113" t="s">
        <v>433</v>
      </c>
      <c r="E113" t="s">
        <v>412</v>
      </c>
      <c r="F113" t="s">
        <v>110</v>
      </c>
      <c r="G113" t="s">
        <v>40</v>
      </c>
      <c r="H113">
        <v>2</v>
      </c>
      <c r="I113" s="104">
        <v>249.99</v>
      </c>
      <c r="J113" t="s">
        <v>93</v>
      </c>
      <c r="K113" t="s">
        <v>43</v>
      </c>
      <c r="L113" t="s">
        <v>95</v>
      </c>
      <c r="M113" s="103">
        <v>44993</v>
      </c>
      <c r="N113" s="104">
        <v>499.98</v>
      </c>
      <c r="O113" s="105">
        <f t="shared" si="4"/>
        <v>45565</v>
      </c>
      <c r="P113" s="106">
        <f t="shared" si="5"/>
        <v>1</v>
      </c>
      <c r="Q113" s="106">
        <f>COUNTIF($D$2:D113,D113)</f>
        <v>4</v>
      </c>
      <c r="R113" s="106" t="str">
        <f t="shared" si="6"/>
        <v>Repeat</v>
      </c>
      <c r="S113" s="106" t="str">
        <f t="shared" si="7"/>
        <v>MON</v>
      </c>
      <c r="T113" s="106" t="str">
        <f>IF(AND(OR('Filter Demo'!$C$4="All",K113='Filter Demo'!$C$4),OR('Filter Demo'!$C$5="All",G113='Filter Demo'!$C$5),N113&gt;='Filter Demo'!$C$6),MAX($T$1:T112)+1,"")</f>
        <v/>
      </c>
    </row>
    <row r="114" spans="1:20" x14ac:dyDescent="0.25">
      <c r="A114" t="s">
        <v>574</v>
      </c>
      <c r="B114" s="103">
        <v>45551</v>
      </c>
      <c r="C114" t="s">
        <v>160</v>
      </c>
      <c r="D114" t="s">
        <v>494</v>
      </c>
      <c r="E114" t="s">
        <v>474</v>
      </c>
      <c r="F114" t="s">
        <v>107</v>
      </c>
      <c r="G114" t="s">
        <v>42</v>
      </c>
      <c r="H114">
        <v>4</v>
      </c>
      <c r="I114" s="104">
        <v>199.99</v>
      </c>
      <c r="J114" t="s">
        <v>92</v>
      </c>
      <c r="K114" t="s">
        <v>39</v>
      </c>
      <c r="L114" t="s">
        <v>95</v>
      </c>
      <c r="M114" s="103">
        <v>44458</v>
      </c>
      <c r="N114" s="104">
        <v>799.96</v>
      </c>
      <c r="O114" s="105">
        <f t="shared" si="4"/>
        <v>45565</v>
      </c>
      <c r="P114" s="106">
        <f t="shared" si="5"/>
        <v>2</v>
      </c>
      <c r="Q114" s="106">
        <f>COUNTIF($D$2:D114,D114)</f>
        <v>2</v>
      </c>
      <c r="R114" s="106" t="str">
        <f t="shared" si="6"/>
        <v>Repeat</v>
      </c>
      <c r="S114" s="106" t="str">
        <f t="shared" si="7"/>
        <v>OC</v>
      </c>
      <c r="T114" s="106" t="str">
        <f>IF(AND(OR('Filter Demo'!$C$4="All",K114='Filter Demo'!$C$4),OR('Filter Demo'!$C$5="All",G114='Filter Demo'!$C$5),N114&gt;='Filter Demo'!$C$6),MAX($T$1:T113)+1,"")</f>
        <v/>
      </c>
    </row>
    <row r="115" spans="1:20" x14ac:dyDescent="0.25">
      <c r="A115" t="s">
        <v>575</v>
      </c>
      <c r="B115" s="103">
        <v>45554</v>
      </c>
      <c r="C115" t="s">
        <v>175</v>
      </c>
      <c r="D115" t="s">
        <v>489</v>
      </c>
      <c r="E115" t="s">
        <v>468</v>
      </c>
      <c r="F115" t="s">
        <v>111</v>
      </c>
      <c r="G115" t="s">
        <v>40</v>
      </c>
      <c r="H115">
        <v>5</v>
      </c>
      <c r="I115" s="104">
        <v>89.99</v>
      </c>
      <c r="J115" t="s">
        <v>91</v>
      </c>
      <c r="K115" t="s">
        <v>39</v>
      </c>
      <c r="L115" t="s">
        <v>97</v>
      </c>
      <c r="M115" s="103">
        <v>44446</v>
      </c>
      <c r="N115" s="104">
        <v>449.95</v>
      </c>
      <c r="O115" s="105">
        <f t="shared" si="4"/>
        <v>45565</v>
      </c>
      <c r="P115" s="106">
        <f t="shared" si="5"/>
        <v>3</v>
      </c>
      <c r="Q115" s="106">
        <f>COUNTIF($D$2:D115,D115)</f>
        <v>4</v>
      </c>
      <c r="R115" s="106" t="str">
        <f t="shared" si="6"/>
        <v>Repeat</v>
      </c>
      <c r="S115" s="106" t="str">
        <f t="shared" si="7"/>
        <v>KEY</v>
      </c>
      <c r="T115" s="106" t="str">
        <f>IF(AND(OR('Filter Demo'!$C$4="All",K115='Filter Demo'!$C$4),OR('Filter Demo'!$C$5="All",G115='Filter Demo'!$C$5),N115&gt;='Filter Demo'!$C$6),MAX($T$1:T114)+1,"")</f>
        <v/>
      </c>
    </row>
    <row r="116" spans="1:20" x14ac:dyDescent="0.25">
      <c r="A116" t="s">
        <v>576</v>
      </c>
      <c r="B116" s="103">
        <v>45554</v>
      </c>
      <c r="C116" t="s">
        <v>167</v>
      </c>
      <c r="D116" t="s">
        <v>577</v>
      </c>
      <c r="E116" t="s">
        <v>426</v>
      </c>
      <c r="F116" t="s">
        <v>104</v>
      </c>
      <c r="G116" t="s">
        <v>40</v>
      </c>
      <c r="H116">
        <v>1</v>
      </c>
      <c r="I116" s="104">
        <v>149.99</v>
      </c>
      <c r="J116" t="s">
        <v>93</v>
      </c>
      <c r="K116" t="s">
        <v>39</v>
      </c>
      <c r="L116" t="s">
        <v>96</v>
      </c>
      <c r="M116" s="103">
        <v>44482</v>
      </c>
      <c r="N116" s="104">
        <v>149.99</v>
      </c>
      <c r="O116" s="105">
        <f t="shared" si="4"/>
        <v>45565</v>
      </c>
      <c r="P116" s="106">
        <f t="shared" si="5"/>
        <v>2</v>
      </c>
      <c r="Q116" s="106">
        <f>COUNTIF($D$2:D116,D116)</f>
        <v>1</v>
      </c>
      <c r="R116" s="106" t="str">
        <f t="shared" si="6"/>
        <v>Repeat</v>
      </c>
      <c r="S116" s="106" t="str">
        <f t="shared" si="7"/>
        <v>HEA</v>
      </c>
      <c r="T116" s="106" t="str">
        <f>IF(AND(OR('Filter Demo'!$C$4="All",K116='Filter Demo'!$C$4),OR('Filter Demo'!$C$5="All",G116='Filter Demo'!$C$5),N116&gt;='Filter Demo'!$C$6),MAX($T$1:T115)+1,"")</f>
        <v/>
      </c>
    </row>
    <row r="117" spans="1:20" x14ac:dyDescent="0.25">
      <c r="A117" t="s">
        <v>578</v>
      </c>
      <c r="B117" s="103">
        <v>45554</v>
      </c>
      <c r="C117" t="s">
        <v>197</v>
      </c>
      <c r="D117" t="s">
        <v>438</v>
      </c>
      <c r="E117" t="s">
        <v>443</v>
      </c>
      <c r="F117" t="s">
        <v>103</v>
      </c>
      <c r="G117" t="s">
        <v>40</v>
      </c>
      <c r="H117">
        <v>4</v>
      </c>
      <c r="I117" s="104">
        <v>699.99</v>
      </c>
      <c r="J117" t="s">
        <v>93</v>
      </c>
      <c r="K117" t="s">
        <v>43</v>
      </c>
      <c r="L117" t="s">
        <v>95</v>
      </c>
      <c r="M117" s="103">
        <v>44618</v>
      </c>
      <c r="N117" s="104">
        <v>2799.96</v>
      </c>
      <c r="O117" s="105">
        <f t="shared" si="4"/>
        <v>45565</v>
      </c>
      <c r="P117" s="106">
        <f t="shared" si="5"/>
        <v>2</v>
      </c>
      <c r="Q117" s="106">
        <f>COUNTIF($D$2:D117,D117)</f>
        <v>3</v>
      </c>
      <c r="R117" s="106" t="str">
        <f t="shared" si="6"/>
        <v>Repeat</v>
      </c>
      <c r="S117" s="106" t="str">
        <f t="shared" si="7"/>
        <v>SMA</v>
      </c>
      <c r="T117" s="106">
        <f>IF(AND(OR('Filter Demo'!$C$4="All",K117='Filter Demo'!$C$4),OR('Filter Demo'!$C$5="All",G117='Filter Demo'!$C$5),N117&gt;='Filter Demo'!$C$6),MAX($T$1:T116)+1,"")</f>
        <v>22</v>
      </c>
    </row>
    <row r="118" spans="1:20" x14ac:dyDescent="0.25">
      <c r="A118" t="s">
        <v>579</v>
      </c>
      <c r="B118" s="103">
        <v>45559</v>
      </c>
      <c r="C118" t="s">
        <v>188</v>
      </c>
      <c r="D118" t="s">
        <v>561</v>
      </c>
      <c r="E118" t="s">
        <v>431</v>
      </c>
      <c r="F118" t="s">
        <v>102</v>
      </c>
      <c r="G118" t="s">
        <v>40</v>
      </c>
      <c r="H118">
        <v>3</v>
      </c>
      <c r="I118" s="104">
        <v>899.99</v>
      </c>
      <c r="J118" t="s">
        <v>91</v>
      </c>
      <c r="K118" t="s">
        <v>41</v>
      </c>
      <c r="L118" t="s">
        <v>96</v>
      </c>
      <c r="M118" s="103">
        <v>45157</v>
      </c>
      <c r="N118" s="104">
        <v>2699.97</v>
      </c>
      <c r="O118" s="105">
        <f t="shared" si="4"/>
        <v>45565</v>
      </c>
      <c r="P118" s="106">
        <f t="shared" si="5"/>
        <v>1</v>
      </c>
      <c r="Q118" s="106">
        <f>COUNTIF($D$2:D118,D118)</f>
        <v>2</v>
      </c>
      <c r="R118" s="106" t="str">
        <f t="shared" si="6"/>
        <v>Repeat</v>
      </c>
      <c r="S118" s="106" t="str">
        <f t="shared" si="7"/>
        <v>LAP</v>
      </c>
      <c r="T118" s="106">
        <f>IF(AND(OR('Filter Demo'!$C$4="All",K118='Filter Demo'!$C$4),OR('Filter Demo'!$C$5="All",G118='Filter Demo'!$C$5),N118&gt;='Filter Demo'!$C$6),MAX($T$1:T117)+1,"")</f>
        <v>23</v>
      </c>
    </row>
    <row r="119" spans="1:20" x14ac:dyDescent="0.25">
      <c r="A119" t="s">
        <v>580</v>
      </c>
      <c r="B119" s="103">
        <v>45560</v>
      </c>
      <c r="C119" t="s">
        <v>170</v>
      </c>
      <c r="D119" t="s">
        <v>465</v>
      </c>
      <c r="E119" t="s">
        <v>422</v>
      </c>
      <c r="F119" t="s">
        <v>109</v>
      </c>
      <c r="G119" t="s">
        <v>42</v>
      </c>
      <c r="H119">
        <v>3</v>
      </c>
      <c r="I119" s="104">
        <v>149.99</v>
      </c>
      <c r="J119" t="s">
        <v>93</v>
      </c>
      <c r="K119" t="s">
        <v>39</v>
      </c>
      <c r="L119" t="s">
        <v>95</v>
      </c>
      <c r="M119" s="103">
        <v>44886</v>
      </c>
      <c r="N119" s="104">
        <v>449.97</v>
      </c>
      <c r="O119" s="105">
        <f t="shared" si="4"/>
        <v>45565</v>
      </c>
      <c r="P119" s="106">
        <f t="shared" si="5"/>
        <v>1</v>
      </c>
      <c r="Q119" s="106">
        <f>COUNTIF($D$2:D119,D119)</f>
        <v>2</v>
      </c>
      <c r="R119" s="106" t="str">
        <f t="shared" si="6"/>
        <v>Repeat</v>
      </c>
      <c r="S119" s="106" t="str">
        <f t="shared" si="7"/>
        <v>BOO</v>
      </c>
      <c r="T119" s="106" t="str">
        <f>IF(AND(OR('Filter Demo'!$C$4="All",K119='Filter Demo'!$C$4),OR('Filter Demo'!$C$5="All",G119='Filter Demo'!$C$5),N119&gt;='Filter Demo'!$C$6),MAX($T$1:T118)+1,"")</f>
        <v/>
      </c>
    </row>
    <row r="120" spans="1:20" x14ac:dyDescent="0.25">
      <c r="A120" t="s">
        <v>581</v>
      </c>
      <c r="B120" s="103">
        <v>45563</v>
      </c>
      <c r="C120" t="s">
        <v>168</v>
      </c>
      <c r="D120" t="s">
        <v>456</v>
      </c>
      <c r="E120" t="s">
        <v>460</v>
      </c>
      <c r="F120" t="s">
        <v>108</v>
      </c>
      <c r="G120" t="s">
        <v>42</v>
      </c>
      <c r="H120">
        <v>2</v>
      </c>
      <c r="I120" s="104">
        <v>299.99</v>
      </c>
      <c r="J120" t="s">
        <v>92</v>
      </c>
      <c r="K120" t="s">
        <v>37</v>
      </c>
      <c r="L120" t="s">
        <v>95</v>
      </c>
      <c r="M120" s="103">
        <v>44569</v>
      </c>
      <c r="N120" s="104">
        <v>599.98</v>
      </c>
      <c r="O120" s="105">
        <f t="shared" si="4"/>
        <v>45565</v>
      </c>
      <c r="P120" s="106">
        <f t="shared" si="5"/>
        <v>2</v>
      </c>
      <c r="Q120" s="106">
        <f>COUNTIF($D$2:D120,D120)</f>
        <v>6</v>
      </c>
      <c r="R120" s="106" t="str">
        <f t="shared" si="6"/>
        <v>Repeat</v>
      </c>
      <c r="S120" s="106" t="str">
        <f t="shared" si="7"/>
        <v>DES</v>
      </c>
      <c r="T120" s="106" t="str">
        <f>IF(AND(OR('Filter Demo'!$C$4="All",K120='Filter Demo'!$C$4),OR('Filter Demo'!$C$5="All",G120='Filter Demo'!$C$5),N120&gt;='Filter Demo'!$C$6),MAX($T$1:T119)+1,"")</f>
        <v/>
      </c>
    </row>
    <row r="121" spans="1:20" x14ac:dyDescent="0.25">
      <c r="A121" t="s">
        <v>582</v>
      </c>
      <c r="B121" s="103">
        <v>45564</v>
      </c>
      <c r="C121" t="s">
        <v>171</v>
      </c>
      <c r="D121" t="s">
        <v>583</v>
      </c>
      <c r="E121" t="s">
        <v>474</v>
      </c>
      <c r="F121" t="s">
        <v>107</v>
      </c>
      <c r="G121" t="s">
        <v>42</v>
      </c>
      <c r="H121">
        <v>1</v>
      </c>
      <c r="I121" s="104">
        <v>199.99</v>
      </c>
      <c r="J121" t="s">
        <v>92</v>
      </c>
      <c r="K121" t="s">
        <v>39</v>
      </c>
      <c r="L121" t="s">
        <v>96</v>
      </c>
      <c r="M121" s="103">
        <v>44953</v>
      </c>
      <c r="N121" s="104">
        <v>199.99</v>
      </c>
      <c r="O121" s="105">
        <f t="shared" si="4"/>
        <v>45565</v>
      </c>
      <c r="P121" s="106">
        <f t="shared" si="5"/>
        <v>1</v>
      </c>
      <c r="Q121" s="106">
        <f>COUNTIF($D$2:D121,D121)</f>
        <v>1</v>
      </c>
      <c r="R121" s="106" t="str">
        <f t="shared" si="6"/>
        <v>Repeat</v>
      </c>
      <c r="S121" s="106" t="str">
        <f t="shared" si="7"/>
        <v>OC</v>
      </c>
      <c r="T121" s="106" t="str">
        <f>IF(AND(OR('Filter Demo'!$C$4="All",K121='Filter Demo'!$C$4),OR('Filter Demo'!$C$5="All",G121='Filter Demo'!$C$5),N121&gt;='Filter Demo'!$C$6),MAX($T$1:T120)+1,"")</f>
        <v/>
      </c>
    </row>
    <row r="122" spans="1:20" x14ac:dyDescent="0.25">
      <c r="A122" t="s">
        <v>584</v>
      </c>
      <c r="B122" s="103">
        <v>45566</v>
      </c>
      <c r="C122" t="s">
        <v>159</v>
      </c>
      <c r="D122" t="s">
        <v>421</v>
      </c>
      <c r="E122" t="s">
        <v>460</v>
      </c>
      <c r="F122" t="s">
        <v>108</v>
      </c>
      <c r="G122" t="s">
        <v>42</v>
      </c>
      <c r="H122">
        <v>4</v>
      </c>
      <c r="I122" s="104">
        <v>299.99</v>
      </c>
      <c r="J122" t="s">
        <v>90</v>
      </c>
      <c r="K122" t="s">
        <v>37</v>
      </c>
      <c r="L122" t="s">
        <v>97</v>
      </c>
      <c r="M122" s="103">
        <v>44460</v>
      </c>
      <c r="N122" s="104">
        <v>1199.96</v>
      </c>
      <c r="O122" s="105">
        <f t="shared" si="4"/>
        <v>45596</v>
      </c>
      <c r="P122" s="106">
        <f t="shared" si="5"/>
        <v>3</v>
      </c>
      <c r="Q122" s="106">
        <f>COUNTIF($D$2:D122,D122)</f>
        <v>4</v>
      </c>
      <c r="R122" s="106" t="str">
        <f t="shared" si="6"/>
        <v>Repeat</v>
      </c>
      <c r="S122" s="106" t="str">
        <f t="shared" si="7"/>
        <v>DES</v>
      </c>
      <c r="T122" s="106" t="str">
        <f>IF(AND(OR('Filter Demo'!$C$4="All",K122='Filter Demo'!$C$4),OR('Filter Demo'!$C$5="All",G122='Filter Demo'!$C$5),N122&gt;='Filter Demo'!$C$6),MAX($T$1:T121)+1,"")</f>
        <v/>
      </c>
    </row>
    <row r="123" spans="1:20" x14ac:dyDescent="0.25">
      <c r="A123" t="s">
        <v>585</v>
      </c>
      <c r="B123" s="103">
        <v>45572</v>
      </c>
      <c r="C123" t="s">
        <v>166</v>
      </c>
      <c r="D123" t="s">
        <v>449</v>
      </c>
      <c r="E123" t="s">
        <v>417</v>
      </c>
      <c r="F123" t="s">
        <v>106</v>
      </c>
      <c r="G123" t="s">
        <v>38</v>
      </c>
      <c r="H123">
        <v>2</v>
      </c>
      <c r="I123" s="104">
        <v>59.99</v>
      </c>
      <c r="J123" t="s">
        <v>91</v>
      </c>
      <c r="K123" t="s">
        <v>37</v>
      </c>
      <c r="L123" t="s">
        <v>95</v>
      </c>
      <c r="M123" s="103">
        <v>44579</v>
      </c>
      <c r="N123" s="104">
        <v>119.98</v>
      </c>
      <c r="O123" s="105">
        <f t="shared" si="4"/>
        <v>45596</v>
      </c>
      <c r="P123" s="106">
        <f t="shared" si="5"/>
        <v>2</v>
      </c>
      <c r="Q123" s="106">
        <f>COUNTIF($D$2:D123,D123)</f>
        <v>3</v>
      </c>
      <c r="R123" s="106" t="str">
        <f t="shared" si="6"/>
        <v>Repeat</v>
      </c>
      <c r="S123" s="106" t="str">
        <f t="shared" si="7"/>
        <v>BLE</v>
      </c>
      <c r="T123" s="106" t="str">
        <f>IF(AND(OR('Filter Demo'!$C$4="All",K123='Filter Demo'!$C$4),OR('Filter Demo'!$C$5="All",G123='Filter Demo'!$C$5),N123&gt;='Filter Demo'!$C$6),MAX($T$1:T122)+1,"")</f>
        <v/>
      </c>
    </row>
    <row r="124" spans="1:20" x14ac:dyDescent="0.25">
      <c r="A124" t="s">
        <v>586</v>
      </c>
      <c r="B124" s="103">
        <v>45572</v>
      </c>
      <c r="C124" t="s">
        <v>188</v>
      </c>
      <c r="D124" t="s">
        <v>561</v>
      </c>
      <c r="E124" t="s">
        <v>426</v>
      </c>
      <c r="F124" t="s">
        <v>104</v>
      </c>
      <c r="G124" t="s">
        <v>40</v>
      </c>
      <c r="H124">
        <v>4</v>
      </c>
      <c r="I124" s="104">
        <v>149.99</v>
      </c>
      <c r="J124" t="s">
        <v>91</v>
      </c>
      <c r="K124" t="s">
        <v>41</v>
      </c>
      <c r="L124" t="s">
        <v>97</v>
      </c>
      <c r="M124" s="103">
        <v>45076</v>
      </c>
      <c r="N124" s="104">
        <v>599.96</v>
      </c>
      <c r="O124" s="105">
        <f t="shared" si="4"/>
        <v>45596</v>
      </c>
      <c r="P124" s="106">
        <f t="shared" si="5"/>
        <v>1</v>
      </c>
      <c r="Q124" s="106">
        <f>COUNTIF($D$2:D124,D124)</f>
        <v>3</v>
      </c>
      <c r="R124" s="106" t="str">
        <f t="shared" si="6"/>
        <v>Repeat</v>
      </c>
      <c r="S124" s="106" t="str">
        <f t="shared" si="7"/>
        <v>HEA</v>
      </c>
      <c r="T124" s="106" t="str">
        <f>IF(AND(OR('Filter Demo'!$C$4="All",K124='Filter Demo'!$C$4),OR('Filter Demo'!$C$5="All",G124='Filter Demo'!$C$5),N124&gt;='Filter Demo'!$C$6),MAX($T$1:T123)+1,"")</f>
        <v/>
      </c>
    </row>
    <row r="125" spans="1:20" x14ac:dyDescent="0.25">
      <c r="A125" t="s">
        <v>587</v>
      </c>
      <c r="B125" s="103">
        <v>45573</v>
      </c>
      <c r="C125" t="s">
        <v>172</v>
      </c>
      <c r="D125" t="s">
        <v>542</v>
      </c>
      <c r="E125" t="s">
        <v>443</v>
      </c>
      <c r="F125" t="s">
        <v>103</v>
      </c>
      <c r="G125" t="s">
        <v>40</v>
      </c>
      <c r="H125">
        <v>2</v>
      </c>
      <c r="I125" s="104">
        <v>699.99</v>
      </c>
      <c r="J125" t="s">
        <v>92</v>
      </c>
      <c r="K125" t="s">
        <v>39</v>
      </c>
      <c r="L125" t="s">
        <v>97</v>
      </c>
      <c r="M125" s="103">
        <v>45274</v>
      </c>
      <c r="N125" s="104">
        <v>1399.98</v>
      </c>
      <c r="O125" s="105">
        <f t="shared" si="4"/>
        <v>45596</v>
      </c>
      <c r="P125" s="106">
        <f t="shared" si="5"/>
        <v>0</v>
      </c>
      <c r="Q125" s="106">
        <f>COUNTIF($D$2:D125,D125)</f>
        <v>2</v>
      </c>
      <c r="R125" s="106" t="str">
        <f t="shared" si="6"/>
        <v>Repeat</v>
      </c>
      <c r="S125" s="106" t="str">
        <f t="shared" si="7"/>
        <v>SMA</v>
      </c>
      <c r="T125" s="106">
        <f>IF(AND(OR('Filter Demo'!$C$4="All",K125='Filter Demo'!$C$4),OR('Filter Demo'!$C$5="All",G125='Filter Demo'!$C$5),N125&gt;='Filter Demo'!$C$6),MAX($T$1:T124)+1,"")</f>
        <v>24</v>
      </c>
    </row>
    <row r="126" spans="1:20" x14ac:dyDescent="0.25">
      <c r="A126" t="s">
        <v>588</v>
      </c>
      <c r="B126" s="103">
        <v>45573</v>
      </c>
      <c r="C126" t="s">
        <v>190</v>
      </c>
      <c r="D126" t="s">
        <v>559</v>
      </c>
      <c r="E126" t="s">
        <v>422</v>
      </c>
      <c r="F126" t="s">
        <v>109</v>
      </c>
      <c r="G126" t="s">
        <v>42</v>
      </c>
      <c r="H126">
        <v>3</v>
      </c>
      <c r="I126" s="104">
        <v>149.99</v>
      </c>
      <c r="J126" t="s">
        <v>91</v>
      </c>
      <c r="K126" t="s">
        <v>43</v>
      </c>
      <c r="L126" t="s">
        <v>96</v>
      </c>
      <c r="M126" s="103">
        <v>44940</v>
      </c>
      <c r="N126" s="104">
        <v>449.97</v>
      </c>
      <c r="O126" s="105">
        <f t="shared" si="4"/>
        <v>45596</v>
      </c>
      <c r="P126" s="106">
        <f t="shared" si="5"/>
        <v>1</v>
      </c>
      <c r="Q126" s="106">
        <f>COUNTIF($D$2:D126,D126)</f>
        <v>3</v>
      </c>
      <c r="R126" s="106" t="str">
        <f t="shared" si="6"/>
        <v>Repeat</v>
      </c>
      <c r="S126" s="106" t="str">
        <f t="shared" si="7"/>
        <v>BOO</v>
      </c>
      <c r="T126" s="106" t="str">
        <f>IF(AND(OR('Filter Demo'!$C$4="All",K126='Filter Demo'!$C$4),OR('Filter Demo'!$C$5="All",G126='Filter Demo'!$C$5),N126&gt;='Filter Demo'!$C$6),MAX($T$1:T125)+1,"")</f>
        <v/>
      </c>
    </row>
    <row r="127" spans="1:20" x14ac:dyDescent="0.25">
      <c r="A127" t="s">
        <v>589</v>
      </c>
      <c r="B127" s="103">
        <v>45576</v>
      </c>
      <c r="C127" t="s">
        <v>175</v>
      </c>
      <c r="D127" t="s">
        <v>489</v>
      </c>
      <c r="E127" t="s">
        <v>460</v>
      </c>
      <c r="F127" t="s">
        <v>108</v>
      </c>
      <c r="G127" t="s">
        <v>42</v>
      </c>
      <c r="H127">
        <v>3</v>
      </c>
      <c r="I127" s="104">
        <v>299.99</v>
      </c>
      <c r="J127" t="s">
        <v>91</v>
      </c>
      <c r="K127" t="s">
        <v>37</v>
      </c>
      <c r="L127" t="s">
        <v>96</v>
      </c>
      <c r="M127" s="103">
        <v>45174</v>
      </c>
      <c r="N127" s="104">
        <v>899.97</v>
      </c>
      <c r="O127" s="105">
        <f t="shared" si="4"/>
        <v>45596</v>
      </c>
      <c r="P127" s="106">
        <f t="shared" si="5"/>
        <v>1</v>
      </c>
      <c r="Q127" s="106">
        <f>COUNTIF($D$2:D127,D127)</f>
        <v>5</v>
      </c>
      <c r="R127" s="106" t="str">
        <f t="shared" si="6"/>
        <v>Repeat</v>
      </c>
      <c r="S127" s="106" t="str">
        <f t="shared" si="7"/>
        <v>DES</v>
      </c>
      <c r="T127" s="106" t="str">
        <f>IF(AND(OR('Filter Demo'!$C$4="All",K127='Filter Demo'!$C$4),OR('Filter Demo'!$C$5="All",G127='Filter Demo'!$C$5),N127&gt;='Filter Demo'!$C$6),MAX($T$1:T126)+1,"")</f>
        <v/>
      </c>
    </row>
    <row r="128" spans="1:20" x14ac:dyDescent="0.25">
      <c r="A128" t="s">
        <v>590</v>
      </c>
      <c r="B128" s="103">
        <v>45579</v>
      </c>
      <c r="C128" t="s">
        <v>183</v>
      </c>
      <c r="D128" t="s">
        <v>445</v>
      </c>
      <c r="E128" t="s">
        <v>431</v>
      </c>
      <c r="F128" t="s">
        <v>102</v>
      </c>
      <c r="G128" t="s">
        <v>40</v>
      </c>
      <c r="H128">
        <v>3</v>
      </c>
      <c r="I128" s="104">
        <v>899.99</v>
      </c>
      <c r="J128" t="s">
        <v>93</v>
      </c>
      <c r="K128" t="s">
        <v>44</v>
      </c>
      <c r="L128" t="s">
        <v>95</v>
      </c>
      <c r="M128" s="103">
        <v>45215</v>
      </c>
      <c r="N128" s="104">
        <v>2699.97</v>
      </c>
      <c r="O128" s="105">
        <f t="shared" si="4"/>
        <v>45596</v>
      </c>
      <c r="P128" s="106">
        <f t="shared" si="5"/>
        <v>0</v>
      </c>
      <c r="Q128" s="106">
        <f>COUNTIF($D$2:D128,D128)</f>
        <v>2</v>
      </c>
      <c r="R128" s="106" t="str">
        <f t="shared" si="6"/>
        <v>Repeat</v>
      </c>
      <c r="S128" s="106" t="str">
        <f t="shared" si="7"/>
        <v>LAP</v>
      </c>
      <c r="T128" s="106">
        <f>IF(AND(OR('Filter Demo'!$C$4="All",K128='Filter Demo'!$C$4),OR('Filter Demo'!$C$5="All",G128='Filter Demo'!$C$5),N128&gt;='Filter Demo'!$C$6),MAX($T$1:T127)+1,"")</f>
        <v>25</v>
      </c>
    </row>
    <row r="129" spans="1:20" x14ac:dyDescent="0.25">
      <c r="A129" t="s">
        <v>591</v>
      </c>
      <c r="B129" s="103">
        <v>45581</v>
      </c>
      <c r="C129" t="s">
        <v>174</v>
      </c>
      <c r="D129" t="s">
        <v>454</v>
      </c>
      <c r="E129" t="s">
        <v>443</v>
      </c>
      <c r="F129" t="s">
        <v>103</v>
      </c>
      <c r="G129" t="s">
        <v>40</v>
      </c>
      <c r="H129">
        <v>5</v>
      </c>
      <c r="I129" s="104">
        <v>699.99</v>
      </c>
      <c r="J129" t="s">
        <v>90</v>
      </c>
      <c r="K129" t="s">
        <v>39</v>
      </c>
      <c r="L129" t="s">
        <v>96</v>
      </c>
      <c r="M129" s="103">
        <v>45008</v>
      </c>
      <c r="N129" s="104">
        <v>3499.95</v>
      </c>
      <c r="O129" s="105">
        <f t="shared" si="4"/>
        <v>45596</v>
      </c>
      <c r="P129" s="106">
        <f t="shared" si="5"/>
        <v>1</v>
      </c>
      <c r="Q129" s="106">
        <f>COUNTIF($D$2:D129,D129)</f>
        <v>4</v>
      </c>
      <c r="R129" s="106" t="str">
        <f t="shared" si="6"/>
        <v>Repeat</v>
      </c>
      <c r="S129" s="106" t="str">
        <f t="shared" si="7"/>
        <v>SMA</v>
      </c>
      <c r="T129" s="106">
        <f>IF(AND(OR('Filter Demo'!$C$4="All",K129='Filter Demo'!$C$4),OR('Filter Demo'!$C$5="All",G129='Filter Demo'!$C$5),N129&gt;='Filter Demo'!$C$6),MAX($T$1:T128)+1,"")</f>
        <v>26</v>
      </c>
    </row>
    <row r="130" spans="1:20" x14ac:dyDescent="0.25">
      <c r="A130" t="s">
        <v>592</v>
      </c>
      <c r="B130" s="103">
        <v>45581</v>
      </c>
      <c r="C130" t="s">
        <v>205</v>
      </c>
      <c r="D130" t="s">
        <v>508</v>
      </c>
      <c r="E130" t="s">
        <v>443</v>
      </c>
      <c r="F130" t="s">
        <v>103</v>
      </c>
      <c r="G130" t="s">
        <v>40</v>
      </c>
      <c r="H130">
        <v>4</v>
      </c>
      <c r="I130" s="104">
        <v>699.99</v>
      </c>
      <c r="J130" t="s">
        <v>91</v>
      </c>
      <c r="K130" t="s">
        <v>37</v>
      </c>
      <c r="L130" t="s">
        <v>95</v>
      </c>
      <c r="M130" s="103">
        <v>45385</v>
      </c>
      <c r="N130" s="104">
        <v>2799.96</v>
      </c>
      <c r="O130" s="105">
        <f t="shared" ref="O130:O193" si="8">EOMONTH(B130,0)</f>
        <v>45596</v>
      </c>
      <c r="P130" s="106">
        <f t="shared" ref="P130:P193" si="9">DATEDIF(M130,B130,"Y")</f>
        <v>0</v>
      </c>
      <c r="Q130" s="106">
        <f>COUNTIF($D$2:D130,D130)</f>
        <v>3</v>
      </c>
      <c r="R130" s="106" t="str">
        <f t="shared" ref="R130:R193" si="10">IF(COUNTIF($D$2:$D$251,D130)&gt;1,"Repeat","Single")</f>
        <v>Repeat</v>
      </c>
      <c r="S130" s="106" t="str">
        <f t="shared" ref="S130:S193" si="11">IF(ISNUMBER(FIND(" ",F130)),UPPER(LEFT(F130,1)&amp;MID(F130,FIND(" ",F130)+1,1)),UPPER(LEFT(F130,3)))</f>
        <v>SMA</v>
      </c>
      <c r="T130" s="106">
        <f>IF(AND(OR('Filter Demo'!$C$4="All",K130='Filter Demo'!$C$4),OR('Filter Demo'!$C$5="All",G130='Filter Demo'!$C$5),N130&gt;='Filter Demo'!$C$6),MAX($T$1:T129)+1,"")</f>
        <v>27</v>
      </c>
    </row>
    <row r="131" spans="1:20" x14ac:dyDescent="0.25">
      <c r="A131" t="s">
        <v>593</v>
      </c>
      <c r="B131" s="103">
        <v>45581</v>
      </c>
      <c r="C131" t="s">
        <v>196</v>
      </c>
      <c r="D131" t="s">
        <v>491</v>
      </c>
      <c r="E131" t="s">
        <v>431</v>
      </c>
      <c r="F131" t="s">
        <v>102</v>
      </c>
      <c r="G131" t="s">
        <v>40</v>
      </c>
      <c r="H131">
        <v>1</v>
      </c>
      <c r="I131" s="104">
        <v>899.99</v>
      </c>
      <c r="J131" t="s">
        <v>91</v>
      </c>
      <c r="K131" t="s">
        <v>39</v>
      </c>
      <c r="L131" t="s">
        <v>96</v>
      </c>
      <c r="M131" s="103">
        <v>45369</v>
      </c>
      <c r="N131" s="104">
        <v>899.99</v>
      </c>
      <c r="O131" s="105">
        <f t="shared" si="8"/>
        <v>45596</v>
      </c>
      <c r="P131" s="106">
        <f t="shared" si="9"/>
        <v>0</v>
      </c>
      <c r="Q131" s="106">
        <f>COUNTIF($D$2:D131,D131)</f>
        <v>3</v>
      </c>
      <c r="R131" s="106" t="str">
        <f t="shared" si="10"/>
        <v>Repeat</v>
      </c>
      <c r="S131" s="106" t="str">
        <f t="shared" si="11"/>
        <v>LAP</v>
      </c>
      <c r="T131" s="106" t="str">
        <f>IF(AND(OR('Filter Demo'!$C$4="All",K131='Filter Demo'!$C$4),OR('Filter Demo'!$C$5="All",G131='Filter Demo'!$C$5),N131&gt;='Filter Demo'!$C$6),MAX($T$1:T130)+1,"")</f>
        <v/>
      </c>
    </row>
    <row r="132" spans="1:20" x14ac:dyDescent="0.25">
      <c r="A132" t="s">
        <v>594</v>
      </c>
      <c r="B132" s="103">
        <v>45583</v>
      </c>
      <c r="C132" t="s">
        <v>195</v>
      </c>
      <c r="D132" t="s">
        <v>555</v>
      </c>
      <c r="E132" t="s">
        <v>426</v>
      </c>
      <c r="F132" t="s">
        <v>104</v>
      </c>
      <c r="G132" t="s">
        <v>40</v>
      </c>
      <c r="H132">
        <v>2</v>
      </c>
      <c r="I132" s="104">
        <v>149.99</v>
      </c>
      <c r="J132" t="s">
        <v>91</v>
      </c>
      <c r="K132" t="s">
        <v>44</v>
      </c>
      <c r="L132" t="s">
        <v>95</v>
      </c>
      <c r="M132" s="103">
        <v>44916</v>
      </c>
      <c r="N132" s="104">
        <v>299.98</v>
      </c>
      <c r="O132" s="105">
        <f t="shared" si="8"/>
        <v>45596</v>
      </c>
      <c r="P132" s="106">
        <f t="shared" si="9"/>
        <v>1</v>
      </c>
      <c r="Q132" s="106">
        <f>COUNTIF($D$2:D132,D132)</f>
        <v>3</v>
      </c>
      <c r="R132" s="106" t="str">
        <f t="shared" si="10"/>
        <v>Repeat</v>
      </c>
      <c r="S132" s="106" t="str">
        <f t="shared" si="11"/>
        <v>HEA</v>
      </c>
      <c r="T132" s="106" t="str">
        <f>IF(AND(OR('Filter Demo'!$C$4="All",K132='Filter Demo'!$C$4),OR('Filter Demo'!$C$5="All",G132='Filter Demo'!$C$5),N132&gt;='Filter Demo'!$C$6),MAX($T$1:T131)+1,"")</f>
        <v/>
      </c>
    </row>
    <row r="133" spans="1:20" x14ac:dyDescent="0.25">
      <c r="A133" t="s">
        <v>595</v>
      </c>
      <c r="B133" s="103">
        <v>45586</v>
      </c>
      <c r="C133" t="s">
        <v>195</v>
      </c>
      <c r="D133" t="s">
        <v>555</v>
      </c>
      <c r="E133" t="s">
        <v>468</v>
      </c>
      <c r="F133" t="s">
        <v>111</v>
      </c>
      <c r="G133" t="s">
        <v>40</v>
      </c>
      <c r="H133">
        <v>3</v>
      </c>
      <c r="I133" s="104">
        <v>89.99</v>
      </c>
      <c r="J133" t="s">
        <v>93</v>
      </c>
      <c r="K133" t="s">
        <v>37</v>
      </c>
      <c r="L133" t="s">
        <v>95</v>
      </c>
      <c r="M133" s="103">
        <v>44551</v>
      </c>
      <c r="N133" s="104">
        <v>269.97000000000003</v>
      </c>
      <c r="O133" s="105">
        <f t="shared" si="8"/>
        <v>45596</v>
      </c>
      <c r="P133" s="106">
        <f t="shared" si="9"/>
        <v>2</v>
      </c>
      <c r="Q133" s="106">
        <f>COUNTIF($D$2:D133,D133)</f>
        <v>4</v>
      </c>
      <c r="R133" s="106" t="str">
        <f t="shared" si="10"/>
        <v>Repeat</v>
      </c>
      <c r="S133" s="106" t="str">
        <f t="shared" si="11"/>
        <v>KEY</v>
      </c>
      <c r="T133" s="106" t="str">
        <f>IF(AND(OR('Filter Demo'!$C$4="All",K133='Filter Demo'!$C$4),OR('Filter Demo'!$C$5="All",G133='Filter Demo'!$C$5),N133&gt;='Filter Demo'!$C$6),MAX($T$1:T132)+1,"")</f>
        <v/>
      </c>
    </row>
    <row r="134" spans="1:20" x14ac:dyDescent="0.25">
      <c r="A134" t="s">
        <v>596</v>
      </c>
      <c r="B134" s="103">
        <v>45588</v>
      </c>
      <c r="C134" t="s">
        <v>202</v>
      </c>
      <c r="D134" t="s">
        <v>419</v>
      </c>
      <c r="E134" t="s">
        <v>426</v>
      </c>
      <c r="F134" t="s">
        <v>104</v>
      </c>
      <c r="G134" t="s">
        <v>40</v>
      </c>
      <c r="H134">
        <v>2</v>
      </c>
      <c r="I134" s="104">
        <v>149.99</v>
      </c>
      <c r="J134" t="s">
        <v>93</v>
      </c>
      <c r="K134" t="s">
        <v>37</v>
      </c>
      <c r="L134" t="s">
        <v>95</v>
      </c>
      <c r="M134" s="103">
        <v>44473</v>
      </c>
      <c r="N134" s="104">
        <v>299.98</v>
      </c>
      <c r="O134" s="105">
        <f t="shared" si="8"/>
        <v>45596</v>
      </c>
      <c r="P134" s="106">
        <f t="shared" si="9"/>
        <v>3</v>
      </c>
      <c r="Q134" s="106">
        <f>COUNTIF($D$2:D134,D134)</f>
        <v>6</v>
      </c>
      <c r="R134" s="106" t="str">
        <f t="shared" si="10"/>
        <v>Repeat</v>
      </c>
      <c r="S134" s="106" t="str">
        <f t="shared" si="11"/>
        <v>HEA</v>
      </c>
      <c r="T134" s="106" t="str">
        <f>IF(AND(OR('Filter Demo'!$C$4="All",K134='Filter Demo'!$C$4),OR('Filter Demo'!$C$5="All",G134='Filter Demo'!$C$5),N134&gt;='Filter Demo'!$C$6),MAX($T$1:T133)+1,"")</f>
        <v/>
      </c>
    </row>
    <row r="135" spans="1:20" x14ac:dyDescent="0.25">
      <c r="A135" t="s">
        <v>597</v>
      </c>
      <c r="B135" s="103">
        <v>45588</v>
      </c>
      <c r="C135" t="s">
        <v>160</v>
      </c>
      <c r="D135" t="s">
        <v>494</v>
      </c>
      <c r="E135" t="s">
        <v>443</v>
      </c>
      <c r="F135" t="s">
        <v>103</v>
      </c>
      <c r="G135" t="s">
        <v>40</v>
      </c>
      <c r="H135">
        <v>2</v>
      </c>
      <c r="I135" s="104">
        <v>699.99</v>
      </c>
      <c r="J135" t="s">
        <v>90</v>
      </c>
      <c r="K135" t="s">
        <v>37</v>
      </c>
      <c r="L135" t="s">
        <v>95</v>
      </c>
      <c r="M135" s="103">
        <v>44992</v>
      </c>
      <c r="N135" s="104">
        <v>1399.98</v>
      </c>
      <c r="O135" s="105">
        <f t="shared" si="8"/>
        <v>45596</v>
      </c>
      <c r="P135" s="106">
        <f t="shared" si="9"/>
        <v>1</v>
      </c>
      <c r="Q135" s="106">
        <f>COUNTIF($D$2:D135,D135)</f>
        <v>3</v>
      </c>
      <c r="R135" s="106" t="str">
        <f t="shared" si="10"/>
        <v>Repeat</v>
      </c>
      <c r="S135" s="106" t="str">
        <f t="shared" si="11"/>
        <v>SMA</v>
      </c>
      <c r="T135" s="106">
        <f>IF(AND(OR('Filter Demo'!$C$4="All",K135='Filter Demo'!$C$4),OR('Filter Demo'!$C$5="All",G135='Filter Demo'!$C$5),N135&gt;='Filter Demo'!$C$6),MAX($T$1:T134)+1,"")</f>
        <v>28</v>
      </c>
    </row>
    <row r="136" spans="1:20" x14ac:dyDescent="0.25">
      <c r="A136" t="s">
        <v>598</v>
      </c>
      <c r="B136" s="103">
        <v>45589</v>
      </c>
      <c r="C136" t="s">
        <v>184</v>
      </c>
      <c r="D136" t="s">
        <v>497</v>
      </c>
      <c r="E136" t="s">
        <v>443</v>
      </c>
      <c r="F136" t="s">
        <v>103</v>
      </c>
      <c r="G136" t="s">
        <v>40</v>
      </c>
      <c r="H136">
        <v>5</v>
      </c>
      <c r="I136" s="104">
        <v>699.99</v>
      </c>
      <c r="J136" t="s">
        <v>90</v>
      </c>
      <c r="K136" t="s">
        <v>41</v>
      </c>
      <c r="L136" t="s">
        <v>97</v>
      </c>
      <c r="M136" s="103">
        <v>44635</v>
      </c>
      <c r="N136" s="104">
        <v>3499.95</v>
      </c>
      <c r="O136" s="105">
        <f t="shared" si="8"/>
        <v>45596</v>
      </c>
      <c r="P136" s="106">
        <f t="shared" si="9"/>
        <v>2</v>
      </c>
      <c r="Q136" s="106">
        <f>COUNTIF($D$2:D136,D136)</f>
        <v>4</v>
      </c>
      <c r="R136" s="106" t="str">
        <f t="shared" si="10"/>
        <v>Repeat</v>
      </c>
      <c r="S136" s="106" t="str">
        <f t="shared" si="11"/>
        <v>SMA</v>
      </c>
      <c r="T136" s="106">
        <f>IF(AND(OR('Filter Demo'!$C$4="All",K136='Filter Demo'!$C$4),OR('Filter Demo'!$C$5="All",G136='Filter Demo'!$C$5),N136&gt;='Filter Demo'!$C$6),MAX($T$1:T135)+1,"")</f>
        <v>29</v>
      </c>
    </row>
    <row r="137" spans="1:20" x14ac:dyDescent="0.25">
      <c r="A137" t="s">
        <v>599</v>
      </c>
      <c r="B137" s="103">
        <v>45592</v>
      </c>
      <c r="C137" t="s">
        <v>205</v>
      </c>
      <c r="D137" t="s">
        <v>508</v>
      </c>
      <c r="E137" t="s">
        <v>468</v>
      </c>
      <c r="F137" t="s">
        <v>111</v>
      </c>
      <c r="G137" t="s">
        <v>40</v>
      </c>
      <c r="H137">
        <v>3</v>
      </c>
      <c r="I137" s="104">
        <v>89.99</v>
      </c>
      <c r="J137" t="s">
        <v>91</v>
      </c>
      <c r="K137" t="s">
        <v>41</v>
      </c>
      <c r="L137" t="s">
        <v>96</v>
      </c>
      <c r="M137" s="103">
        <v>44615</v>
      </c>
      <c r="N137" s="104">
        <v>269.97000000000003</v>
      </c>
      <c r="O137" s="105">
        <f t="shared" si="8"/>
        <v>45596</v>
      </c>
      <c r="P137" s="106">
        <f t="shared" si="9"/>
        <v>2</v>
      </c>
      <c r="Q137" s="106">
        <f>COUNTIF($D$2:D137,D137)</f>
        <v>4</v>
      </c>
      <c r="R137" s="106" t="str">
        <f t="shared" si="10"/>
        <v>Repeat</v>
      </c>
      <c r="S137" s="106" t="str">
        <f t="shared" si="11"/>
        <v>KEY</v>
      </c>
      <c r="T137" s="106" t="str">
        <f>IF(AND(OR('Filter Demo'!$C$4="All",K137='Filter Demo'!$C$4),OR('Filter Demo'!$C$5="All",G137='Filter Demo'!$C$5),N137&gt;='Filter Demo'!$C$6),MAX($T$1:T136)+1,"")</f>
        <v/>
      </c>
    </row>
    <row r="138" spans="1:20" x14ac:dyDescent="0.25">
      <c r="A138" t="s">
        <v>600</v>
      </c>
      <c r="B138" s="103">
        <v>45597</v>
      </c>
      <c r="C138" t="s">
        <v>179</v>
      </c>
      <c r="D138" t="s">
        <v>411</v>
      </c>
      <c r="E138" t="s">
        <v>412</v>
      </c>
      <c r="F138" t="s">
        <v>110</v>
      </c>
      <c r="G138" t="s">
        <v>40</v>
      </c>
      <c r="H138">
        <v>5</v>
      </c>
      <c r="I138" s="104">
        <v>249.99</v>
      </c>
      <c r="J138" t="s">
        <v>91</v>
      </c>
      <c r="K138" t="s">
        <v>43</v>
      </c>
      <c r="L138" t="s">
        <v>96</v>
      </c>
      <c r="M138" s="103">
        <v>44881</v>
      </c>
      <c r="N138" s="104">
        <v>1249.95</v>
      </c>
      <c r="O138" s="105">
        <f t="shared" si="8"/>
        <v>45626</v>
      </c>
      <c r="P138" s="106">
        <f t="shared" si="9"/>
        <v>1</v>
      </c>
      <c r="Q138" s="106">
        <f>COUNTIF($D$2:D138,D138)</f>
        <v>4</v>
      </c>
      <c r="R138" s="106" t="str">
        <f t="shared" si="10"/>
        <v>Repeat</v>
      </c>
      <c r="S138" s="106" t="str">
        <f t="shared" si="11"/>
        <v>MON</v>
      </c>
      <c r="T138" s="106">
        <f>IF(AND(OR('Filter Demo'!$C$4="All",K138='Filter Demo'!$C$4),OR('Filter Demo'!$C$5="All",G138='Filter Demo'!$C$5),N138&gt;='Filter Demo'!$C$6),MAX($T$1:T137)+1,"")</f>
        <v>30</v>
      </c>
    </row>
    <row r="139" spans="1:20" x14ac:dyDescent="0.25">
      <c r="A139" t="s">
        <v>601</v>
      </c>
      <c r="B139" s="103">
        <v>45600</v>
      </c>
      <c r="C139" t="s">
        <v>182</v>
      </c>
      <c r="D139" t="s">
        <v>433</v>
      </c>
      <c r="E139" t="s">
        <v>460</v>
      </c>
      <c r="F139" t="s">
        <v>108</v>
      </c>
      <c r="G139" t="s">
        <v>42</v>
      </c>
      <c r="H139">
        <v>3</v>
      </c>
      <c r="I139" s="104">
        <v>299.99</v>
      </c>
      <c r="J139" t="s">
        <v>91</v>
      </c>
      <c r="K139" t="s">
        <v>43</v>
      </c>
      <c r="L139" t="s">
        <v>96</v>
      </c>
      <c r="M139" s="103">
        <v>44502</v>
      </c>
      <c r="N139" s="104">
        <v>899.97</v>
      </c>
      <c r="O139" s="105">
        <f t="shared" si="8"/>
        <v>45626</v>
      </c>
      <c r="P139" s="106">
        <f t="shared" si="9"/>
        <v>3</v>
      </c>
      <c r="Q139" s="106">
        <f>COUNTIF($D$2:D139,D139)</f>
        <v>5</v>
      </c>
      <c r="R139" s="106" t="str">
        <f t="shared" si="10"/>
        <v>Repeat</v>
      </c>
      <c r="S139" s="106" t="str">
        <f t="shared" si="11"/>
        <v>DES</v>
      </c>
      <c r="T139" s="106" t="str">
        <f>IF(AND(OR('Filter Demo'!$C$4="All",K139='Filter Demo'!$C$4),OR('Filter Demo'!$C$5="All",G139='Filter Demo'!$C$5),N139&gt;='Filter Demo'!$C$6),MAX($T$1:T138)+1,"")</f>
        <v/>
      </c>
    </row>
    <row r="140" spans="1:20" x14ac:dyDescent="0.25">
      <c r="A140" t="s">
        <v>602</v>
      </c>
      <c r="B140" s="103">
        <v>45603</v>
      </c>
      <c r="C140" t="s">
        <v>168</v>
      </c>
      <c r="D140" t="s">
        <v>456</v>
      </c>
      <c r="E140" t="s">
        <v>468</v>
      </c>
      <c r="F140" t="s">
        <v>111</v>
      </c>
      <c r="G140" t="s">
        <v>40</v>
      </c>
      <c r="H140">
        <v>3</v>
      </c>
      <c r="I140" s="104">
        <v>89.99</v>
      </c>
      <c r="J140" t="s">
        <v>91</v>
      </c>
      <c r="K140" t="s">
        <v>41</v>
      </c>
      <c r="L140" t="s">
        <v>97</v>
      </c>
      <c r="M140" s="103">
        <v>44420</v>
      </c>
      <c r="N140" s="104">
        <v>269.97000000000003</v>
      </c>
      <c r="O140" s="105">
        <f t="shared" si="8"/>
        <v>45626</v>
      </c>
      <c r="P140" s="106">
        <f t="shared" si="9"/>
        <v>3</v>
      </c>
      <c r="Q140" s="106">
        <f>COUNTIF($D$2:D140,D140)</f>
        <v>7</v>
      </c>
      <c r="R140" s="106" t="str">
        <f t="shared" si="10"/>
        <v>Repeat</v>
      </c>
      <c r="S140" s="106" t="str">
        <f t="shared" si="11"/>
        <v>KEY</v>
      </c>
      <c r="T140" s="106" t="str">
        <f>IF(AND(OR('Filter Demo'!$C$4="All",K140='Filter Demo'!$C$4),OR('Filter Demo'!$C$5="All",G140='Filter Demo'!$C$5),N140&gt;='Filter Demo'!$C$6),MAX($T$1:T139)+1,"")</f>
        <v/>
      </c>
    </row>
    <row r="141" spans="1:20" x14ac:dyDescent="0.25">
      <c r="A141" t="s">
        <v>603</v>
      </c>
      <c r="B141" s="103">
        <v>45604</v>
      </c>
      <c r="C141" t="s">
        <v>166</v>
      </c>
      <c r="D141" t="s">
        <v>449</v>
      </c>
      <c r="E141" t="s">
        <v>422</v>
      </c>
      <c r="F141" t="s">
        <v>109</v>
      </c>
      <c r="G141" t="s">
        <v>42</v>
      </c>
      <c r="H141">
        <v>2</v>
      </c>
      <c r="I141" s="104">
        <v>149.99</v>
      </c>
      <c r="J141" t="s">
        <v>91</v>
      </c>
      <c r="K141" t="s">
        <v>44</v>
      </c>
      <c r="L141" t="s">
        <v>97</v>
      </c>
      <c r="M141" s="103">
        <v>44848</v>
      </c>
      <c r="N141" s="104">
        <v>299.98</v>
      </c>
      <c r="O141" s="105">
        <f t="shared" si="8"/>
        <v>45626</v>
      </c>
      <c r="P141" s="106">
        <f t="shared" si="9"/>
        <v>2</v>
      </c>
      <c r="Q141" s="106">
        <f>COUNTIF($D$2:D141,D141)</f>
        <v>4</v>
      </c>
      <c r="R141" s="106" t="str">
        <f t="shared" si="10"/>
        <v>Repeat</v>
      </c>
      <c r="S141" s="106" t="str">
        <f t="shared" si="11"/>
        <v>BOO</v>
      </c>
      <c r="T141" s="106" t="str">
        <f>IF(AND(OR('Filter Demo'!$C$4="All",K141='Filter Demo'!$C$4),OR('Filter Demo'!$C$5="All",G141='Filter Demo'!$C$5),N141&gt;='Filter Demo'!$C$6),MAX($T$1:T140)+1,"")</f>
        <v/>
      </c>
    </row>
    <row r="142" spans="1:20" x14ac:dyDescent="0.25">
      <c r="A142" t="s">
        <v>604</v>
      </c>
      <c r="B142" s="103">
        <v>45605</v>
      </c>
      <c r="C142" t="s">
        <v>176</v>
      </c>
      <c r="D142" t="s">
        <v>520</v>
      </c>
      <c r="E142" t="s">
        <v>412</v>
      </c>
      <c r="F142" t="s">
        <v>110</v>
      </c>
      <c r="G142" t="s">
        <v>40</v>
      </c>
      <c r="H142">
        <v>1</v>
      </c>
      <c r="I142" s="104">
        <v>249.99</v>
      </c>
      <c r="J142" t="s">
        <v>91</v>
      </c>
      <c r="K142" t="s">
        <v>41</v>
      </c>
      <c r="L142" t="s">
        <v>97</v>
      </c>
      <c r="M142" s="103">
        <v>44828</v>
      </c>
      <c r="N142" s="104">
        <v>249.99</v>
      </c>
      <c r="O142" s="105">
        <f t="shared" si="8"/>
        <v>45626</v>
      </c>
      <c r="P142" s="106">
        <f t="shared" si="9"/>
        <v>2</v>
      </c>
      <c r="Q142" s="106">
        <f>COUNTIF($D$2:D142,D142)</f>
        <v>3</v>
      </c>
      <c r="R142" s="106" t="str">
        <f t="shared" si="10"/>
        <v>Repeat</v>
      </c>
      <c r="S142" s="106" t="str">
        <f t="shared" si="11"/>
        <v>MON</v>
      </c>
      <c r="T142" s="106" t="str">
        <f>IF(AND(OR('Filter Demo'!$C$4="All",K142='Filter Demo'!$C$4),OR('Filter Demo'!$C$5="All",G142='Filter Demo'!$C$5),N142&gt;='Filter Demo'!$C$6),MAX($T$1:T141)+1,"")</f>
        <v/>
      </c>
    </row>
    <row r="143" spans="1:20" x14ac:dyDescent="0.25">
      <c r="A143" t="s">
        <v>605</v>
      </c>
      <c r="B143" s="103">
        <v>45607</v>
      </c>
      <c r="C143" t="s">
        <v>197</v>
      </c>
      <c r="D143" t="s">
        <v>438</v>
      </c>
      <c r="E143" t="s">
        <v>426</v>
      </c>
      <c r="F143" t="s">
        <v>104</v>
      </c>
      <c r="G143" t="s">
        <v>40</v>
      </c>
      <c r="H143">
        <v>3</v>
      </c>
      <c r="I143" s="104">
        <v>149.99</v>
      </c>
      <c r="J143" t="s">
        <v>90</v>
      </c>
      <c r="K143" t="s">
        <v>41</v>
      </c>
      <c r="L143" t="s">
        <v>95</v>
      </c>
      <c r="M143" s="103">
        <v>44769</v>
      </c>
      <c r="N143" s="104">
        <v>449.97</v>
      </c>
      <c r="O143" s="105">
        <f t="shared" si="8"/>
        <v>45626</v>
      </c>
      <c r="P143" s="106">
        <f t="shared" si="9"/>
        <v>2</v>
      </c>
      <c r="Q143" s="106">
        <f>COUNTIF($D$2:D143,D143)</f>
        <v>4</v>
      </c>
      <c r="R143" s="106" t="str">
        <f t="shared" si="10"/>
        <v>Repeat</v>
      </c>
      <c r="S143" s="106" t="str">
        <f t="shared" si="11"/>
        <v>HEA</v>
      </c>
      <c r="T143" s="106" t="str">
        <f>IF(AND(OR('Filter Demo'!$C$4="All",K143='Filter Demo'!$C$4),OR('Filter Demo'!$C$5="All",G143='Filter Demo'!$C$5),N143&gt;='Filter Demo'!$C$6),MAX($T$1:T142)+1,"")</f>
        <v/>
      </c>
    </row>
    <row r="144" spans="1:20" x14ac:dyDescent="0.25">
      <c r="A144" t="s">
        <v>606</v>
      </c>
      <c r="B144" s="103">
        <v>45607</v>
      </c>
      <c r="C144" t="s">
        <v>179</v>
      </c>
      <c r="D144" t="s">
        <v>411</v>
      </c>
      <c r="E144" t="s">
        <v>417</v>
      </c>
      <c r="F144" t="s">
        <v>106</v>
      </c>
      <c r="G144" t="s">
        <v>38</v>
      </c>
      <c r="H144">
        <v>5</v>
      </c>
      <c r="I144" s="104">
        <v>59.99</v>
      </c>
      <c r="J144" t="s">
        <v>93</v>
      </c>
      <c r="K144" t="s">
        <v>44</v>
      </c>
      <c r="L144" t="s">
        <v>97</v>
      </c>
      <c r="M144" s="103">
        <v>44694</v>
      </c>
      <c r="N144" s="104">
        <v>299.95</v>
      </c>
      <c r="O144" s="105">
        <f t="shared" si="8"/>
        <v>45626</v>
      </c>
      <c r="P144" s="106">
        <f t="shared" si="9"/>
        <v>2</v>
      </c>
      <c r="Q144" s="106">
        <f>COUNTIF($D$2:D144,D144)</f>
        <v>5</v>
      </c>
      <c r="R144" s="106" t="str">
        <f t="shared" si="10"/>
        <v>Repeat</v>
      </c>
      <c r="S144" s="106" t="str">
        <f t="shared" si="11"/>
        <v>BLE</v>
      </c>
      <c r="T144" s="106" t="str">
        <f>IF(AND(OR('Filter Demo'!$C$4="All",K144='Filter Demo'!$C$4),OR('Filter Demo'!$C$5="All",G144='Filter Demo'!$C$5),N144&gt;='Filter Demo'!$C$6),MAX($T$1:T143)+1,"")</f>
        <v/>
      </c>
    </row>
    <row r="145" spans="1:20" x14ac:dyDescent="0.25">
      <c r="A145" t="s">
        <v>607</v>
      </c>
      <c r="B145" s="103">
        <v>45607</v>
      </c>
      <c r="C145" t="s">
        <v>168</v>
      </c>
      <c r="D145" t="s">
        <v>456</v>
      </c>
      <c r="E145" t="s">
        <v>412</v>
      </c>
      <c r="F145" t="s">
        <v>110</v>
      </c>
      <c r="G145" t="s">
        <v>40</v>
      </c>
      <c r="H145">
        <v>4</v>
      </c>
      <c r="I145" s="104">
        <v>249.99</v>
      </c>
      <c r="J145" t="s">
        <v>91</v>
      </c>
      <c r="K145" t="s">
        <v>44</v>
      </c>
      <c r="L145" t="s">
        <v>96</v>
      </c>
      <c r="M145" s="103">
        <v>44659</v>
      </c>
      <c r="N145" s="104">
        <v>999.96</v>
      </c>
      <c r="O145" s="105">
        <f t="shared" si="8"/>
        <v>45626</v>
      </c>
      <c r="P145" s="106">
        <f t="shared" si="9"/>
        <v>2</v>
      </c>
      <c r="Q145" s="106">
        <f>COUNTIF($D$2:D145,D145)</f>
        <v>8</v>
      </c>
      <c r="R145" s="106" t="str">
        <f t="shared" si="10"/>
        <v>Repeat</v>
      </c>
      <c r="S145" s="106" t="str">
        <f t="shared" si="11"/>
        <v>MON</v>
      </c>
      <c r="T145" s="106" t="str">
        <f>IF(AND(OR('Filter Demo'!$C$4="All",K145='Filter Demo'!$C$4),OR('Filter Demo'!$C$5="All",G145='Filter Demo'!$C$5),N145&gt;='Filter Demo'!$C$6),MAX($T$1:T144)+1,"")</f>
        <v/>
      </c>
    </row>
    <row r="146" spans="1:20" x14ac:dyDescent="0.25">
      <c r="A146" t="s">
        <v>608</v>
      </c>
      <c r="B146" s="103">
        <v>45608</v>
      </c>
      <c r="C146" t="s">
        <v>160</v>
      </c>
      <c r="D146" t="s">
        <v>494</v>
      </c>
      <c r="E146" t="s">
        <v>422</v>
      </c>
      <c r="F146" t="s">
        <v>109</v>
      </c>
      <c r="G146" t="s">
        <v>42</v>
      </c>
      <c r="H146">
        <v>5</v>
      </c>
      <c r="I146" s="104">
        <v>149.99</v>
      </c>
      <c r="J146" t="s">
        <v>93</v>
      </c>
      <c r="K146" t="s">
        <v>37</v>
      </c>
      <c r="L146" t="s">
        <v>95</v>
      </c>
      <c r="M146" s="103">
        <v>44901</v>
      </c>
      <c r="N146" s="104">
        <v>749.95</v>
      </c>
      <c r="O146" s="105">
        <f t="shared" si="8"/>
        <v>45626</v>
      </c>
      <c r="P146" s="106">
        <f t="shared" si="9"/>
        <v>1</v>
      </c>
      <c r="Q146" s="106">
        <f>COUNTIF($D$2:D146,D146)</f>
        <v>4</v>
      </c>
      <c r="R146" s="106" t="str">
        <f t="shared" si="10"/>
        <v>Repeat</v>
      </c>
      <c r="S146" s="106" t="str">
        <f t="shared" si="11"/>
        <v>BOO</v>
      </c>
      <c r="T146" s="106" t="str">
        <f>IF(AND(OR('Filter Demo'!$C$4="All",K146='Filter Demo'!$C$4),OR('Filter Demo'!$C$5="All",G146='Filter Demo'!$C$5),N146&gt;='Filter Demo'!$C$6),MAX($T$1:T145)+1,"")</f>
        <v/>
      </c>
    </row>
    <row r="147" spans="1:20" x14ac:dyDescent="0.25">
      <c r="A147" t="s">
        <v>609</v>
      </c>
      <c r="B147" s="103">
        <v>45608</v>
      </c>
      <c r="C147" t="s">
        <v>183</v>
      </c>
      <c r="D147" t="s">
        <v>445</v>
      </c>
      <c r="E147" t="s">
        <v>417</v>
      </c>
      <c r="F147" t="s">
        <v>106</v>
      </c>
      <c r="G147" t="s">
        <v>38</v>
      </c>
      <c r="H147">
        <v>3</v>
      </c>
      <c r="I147" s="104">
        <v>59.99</v>
      </c>
      <c r="J147" t="s">
        <v>92</v>
      </c>
      <c r="K147" t="s">
        <v>43</v>
      </c>
      <c r="L147" t="s">
        <v>96</v>
      </c>
      <c r="M147" s="103">
        <v>45260</v>
      </c>
      <c r="N147" s="104">
        <v>179.97</v>
      </c>
      <c r="O147" s="105">
        <f t="shared" si="8"/>
        <v>45626</v>
      </c>
      <c r="P147" s="106">
        <f t="shared" si="9"/>
        <v>0</v>
      </c>
      <c r="Q147" s="106">
        <f>COUNTIF($D$2:D147,D147)</f>
        <v>3</v>
      </c>
      <c r="R147" s="106" t="str">
        <f t="shared" si="10"/>
        <v>Repeat</v>
      </c>
      <c r="S147" s="106" t="str">
        <f t="shared" si="11"/>
        <v>BLE</v>
      </c>
      <c r="T147" s="106" t="str">
        <f>IF(AND(OR('Filter Demo'!$C$4="All",K147='Filter Demo'!$C$4),OR('Filter Demo'!$C$5="All",G147='Filter Demo'!$C$5),N147&gt;='Filter Demo'!$C$6),MAX($T$1:T146)+1,"")</f>
        <v/>
      </c>
    </row>
    <row r="148" spans="1:20" x14ac:dyDescent="0.25">
      <c r="A148" t="s">
        <v>610</v>
      </c>
      <c r="B148" s="103">
        <v>45613</v>
      </c>
      <c r="C148" t="s">
        <v>188</v>
      </c>
      <c r="D148" t="s">
        <v>561</v>
      </c>
      <c r="E148" t="s">
        <v>422</v>
      </c>
      <c r="F148" t="s">
        <v>109</v>
      </c>
      <c r="G148" t="s">
        <v>42</v>
      </c>
      <c r="H148">
        <v>5</v>
      </c>
      <c r="I148" s="104">
        <v>149.99</v>
      </c>
      <c r="J148" t="s">
        <v>90</v>
      </c>
      <c r="K148" t="s">
        <v>41</v>
      </c>
      <c r="L148" t="s">
        <v>95</v>
      </c>
      <c r="M148" s="103">
        <v>44869</v>
      </c>
      <c r="N148" s="104">
        <v>749.95</v>
      </c>
      <c r="O148" s="105">
        <f t="shared" si="8"/>
        <v>45626</v>
      </c>
      <c r="P148" s="106">
        <f t="shared" si="9"/>
        <v>2</v>
      </c>
      <c r="Q148" s="106">
        <f>COUNTIF($D$2:D148,D148)</f>
        <v>4</v>
      </c>
      <c r="R148" s="106" t="str">
        <f t="shared" si="10"/>
        <v>Repeat</v>
      </c>
      <c r="S148" s="106" t="str">
        <f t="shared" si="11"/>
        <v>BOO</v>
      </c>
      <c r="T148" s="106" t="str">
        <f>IF(AND(OR('Filter Demo'!$C$4="All",K148='Filter Demo'!$C$4),OR('Filter Demo'!$C$5="All",G148='Filter Demo'!$C$5),N148&gt;='Filter Demo'!$C$6),MAX($T$1:T147)+1,"")</f>
        <v/>
      </c>
    </row>
    <row r="149" spans="1:20" x14ac:dyDescent="0.25">
      <c r="A149" t="s">
        <v>611</v>
      </c>
      <c r="B149" s="103">
        <v>45613</v>
      </c>
      <c r="C149" t="s">
        <v>181</v>
      </c>
      <c r="D149" t="s">
        <v>447</v>
      </c>
      <c r="E149" t="s">
        <v>443</v>
      </c>
      <c r="F149" t="s">
        <v>103</v>
      </c>
      <c r="G149" t="s">
        <v>40</v>
      </c>
      <c r="H149">
        <v>2</v>
      </c>
      <c r="I149" s="104">
        <v>699.99</v>
      </c>
      <c r="J149" t="s">
        <v>93</v>
      </c>
      <c r="K149" t="s">
        <v>44</v>
      </c>
      <c r="L149" t="s">
        <v>96</v>
      </c>
      <c r="M149" s="103">
        <v>44770</v>
      </c>
      <c r="N149" s="104">
        <v>1399.98</v>
      </c>
      <c r="O149" s="105">
        <f t="shared" si="8"/>
        <v>45626</v>
      </c>
      <c r="P149" s="106">
        <f t="shared" si="9"/>
        <v>2</v>
      </c>
      <c r="Q149" s="106">
        <f>COUNTIF($D$2:D149,D149)</f>
        <v>8</v>
      </c>
      <c r="R149" s="106" t="str">
        <f t="shared" si="10"/>
        <v>Repeat</v>
      </c>
      <c r="S149" s="106" t="str">
        <f t="shared" si="11"/>
        <v>SMA</v>
      </c>
      <c r="T149" s="106">
        <f>IF(AND(OR('Filter Demo'!$C$4="All",K149='Filter Demo'!$C$4),OR('Filter Demo'!$C$5="All",G149='Filter Demo'!$C$5),N149&gt;='Filter Demo'!$C$6),MAX($T$1:T148)+1,"")</f>
        <v>31</v>
      </c>
    </row>
    <row r="150" spans="1:20" x14ac:dyDescent="0.25">
      <c r="A150" t="s">
        <v>612</v>
      </c>
      <c r="B150" s="103">
        <v>45617</v>
      </c>
      <c r="C150" t="s">
        <v>185</v>
      </c>
      <c r="D150" t="s">
        <v>472</v>
      </c>
      <c r="E150" t="s">
        <v>474</v>
      </c>
      <c r="F150" t="s">
        <v>107</v>
      </c>
      <c r="G150" t="s">
        <v>42</v>
      </c>
      <c r="H150">
        <v>4</v>
      </c>
      <c r="I150" s="104">
        <v>199.99</v>
      </c>
      <c r="J150" t="s">
        <v>92</v>
      </c>
      <c r="K150" t="s">
        <v>37</v>
      </c>
      <c r="L150" t="s">
        <v>97</v>
      </c>
      <c r="M150" s="103">
        <v>44427</v>
      </c>
      <c r="N150" s="104">
        <v>799.96</v>
      </c>
      <c r="O150" s="105">
        <f t="shared" si="8"/>
        <v>45626</v>
      </c>
      <c r="P150" s="106">
        <f t="shared" si="9"/>
        <v>3</v>
      </c>
      <c r="Q150" s="106">
        <f>COUNTIF($D$2:D150,D150)</f>
        <v>3</v>
      </c>
      <c r="R150" s="106" t="str">
        <f t="shared" si="10"/>
        <v>Repeat</v>
      </c>
      <c r="S150" s="106" t="str">
        <f t="shared" si="11"/>
        <v>OC</v>
      </c>
      <c r="T150" s="106" t="str">
        <f>IF(AND(OR('Filter Demo'!$C$4="All",K150='Filter Demo'!$C$4),OR('Filter Demo'!$C$5="All",G150='Filter Demo'!$C$5),N150&gt;='Filter Demo'!$C$6),MAX($T$1:T149)+1,"")</f>
        <v/>
      </c>
    </row>
    <row r="151" spans="1:20" x14ac:dyDescent="0.25">
      <c r="A151" t="s">
        <v>613</v>
      </c>
      <c r="B151" s="103">
        <v>45619</v>
      </c>
      <c r="C151" t="s">
        <v>189</v>
      </c>
      <c r="D151" t="s">
        <v>526</v>
      </c>
      <c r="E151" t="s">
        <v>417</v>
      </c>
      <c r="F151" t="s">
        <v>106</v>
      </c>
      <c r="G151" t="s">
        <v>38</v>
      </c>
      <c r="H151">
        <v>1</v>
      </c>
      <c r="I151" s="104">
        <v>59.99</v>
      </c>
      <c r="J151" t="s">
        <v>92</v>
      </c>
      <c r="K151" t="s">
        <v>44</v>
      </c>
      <c r="L151" t="s">
        <v>96</v>
      </c>
      <c r="M151" s="103">
        <v>44560</v>
      </c>
      <c r="N151" s="104">
        <v>59.99</v>
      </c>
      <c r="O151" s="105">
        <f t="shared" si="8"/>
        <v>45626</v>
      </c>
      <c r="P151" s="106">
        <f t="shared" si="9"/>
        <v>2</v>
      </c>
      <c r="Q151" s="106">
        <f>COUNTIF($D$2:D151,D151)</f>
        <v>3</v>
      </c>
      <c r="R151" s="106" t="str">
        <f t="shared" si="10"/>
        <v>Repeat</v>
      </c>
      <c r="S151" s="106" t="str">
        <f t="shared" si="11"/>
        <v>BLE</v>
      </c>
      <c r="T151" s="106" t="str">
        <f>IF(AND(OR('Filter Demo'!$C$4="All",K151='Filter Demo'!$C$4),OR('Filter Demo'!$C$5="All",G151='Filter Demo'!$C$5),N151&gt;='Filter Demo'!$C$6),MAX($T$1:T150)+1,"")</f>
        <v/>
      </c>
    </row>
    <row r="152" spans="1:20" x14ac:dyDescent="0.25">
      <c r="A152" t="s">
        <v>614</v>
      </c>
      <c r="B152" s="103">
        <v>45619</v>
      </c>
      <c r="C152" t="s">
        <v>160</v>
      </c>
      <c r="D152" t="s">
        <v>494</v>
      </c>
      <c r="E152" t="s">
        <v>443</v>
      </c>
      <c r="F152" t="s">
        <v>103</v>
      </c>
      <c r="G152" t="s">
        <v>40</v>
      </c>
      <c r="H152">
        <v>3</v>
      </c>
      <c r="I152" s="104">
        <v>699.99</v>
      </c>
      <c r="J152" t="s">
        <v>93</v>
      </c>
      <c r="K152" t="s">
        <v>44</v>
      </c>
      <c r="L152" t="s">
        <v>96</v>
      </c>
      <c r="M152" s="103">
        <v>44583</v>
      </c>
      <c r="N152" s="104">
        <v>2099.9699999999998</v>
      </c>
      <c r="O152" s="105">
        <f t="shared" si="8"/>
        <v>45626</v>
      </c>
      <c r="P152" s="106">
        <f t="shared" si="9"/>
        <v>2</v>
      </c>
      <c r="Q152" s="106">
        <f>COUNTIF($D$2:D152,D152)</f>
        <v>5</v>
      </c>
      <c r="R152" s="106" t="str">
        <f t="shared" si="10"/>
        <v>Repeat</v>
      </c>
      <c r="S152" s="106" t="str">
        <f t="shared" si="11"/>
        <v>SMA</v>
      </c>
      <c r="T152" s="106">
        <f>IF(AND(OR('Filter Demo'!$C$4="All",K152='Filter Demo'!$C$4),OR('Filter Demo'!$C$5="All",G152='Filter Demo'!$C$5),N152&gt;='Filter Demo'!$C$6),MAX($T$1:T151)+1,"")</f>
        <v>32</v>
      </c>
    </row>
    <row r="153" spans="1:20" x14ac:dyDescent="0.25">
      <c r="A153" t="s">
        <v>615</v>
      </c>
      <c r="B153" s="103">
        <v>45622</v>
      </c>
      <c r="C153" t="s">
        <v>201</v>
      </c>
      <c r="D153" t="s">
        <v>616</v>
      </c>
      <c r="E153" t="s">
        <v>412</v>
      </c>
      <c r="F153" t="s">
        <v>110</v>
      </c>
      <c r="G153" t="s">
        <v>40</v>
      </c>
      <c r="H153">
        <v>5</v>
      </c>
      <c r="I153" s="104">
        <v>249.99</v>
      </c>
      <c r="J153" t="s">
        <v>91</v>
      </c>
      <c r="K153" t="s">
        <v>41</v>
      </c>
      <c r="L153" t="s">
        <v>95</v>
      </c>
      <c r="M153" s="103">
        <v>44873</v>
      </c>
      <c r="N153" s="104">
        <v>1249.95</v>
      </c>
      <c r="O153" s="105">
        <f t="shared" si="8"/>
        <v>45626</v>
      </c>
      <c r="P153" s="106">
        <f t="shared" si="9"/>
        <v>2</v>
      </c>
      <c r="Q153" s="106">
        <f>COUNTIF($D$2:D153,D153)</f>
        <v>1</v>
      </c>
      <c r="R153" s="106" t="str">
        <f t="shared" si="10"/>
        <v>Repeat</v>
      </c>
      <c r="S153" s="106" t="str">
        <f t="shared" si="11"/>
        <v>MON</v>
      </c>
      <c r="T153" s="106">
        <f>IF(AND(OR('Filter Demo'!$C$4="All",K153='Filter Demo'!$C$4),OR('Filter Demo'!$C$5="All",G153='Filter Demo'!$C$5),N153&gt;='Filter Demo'!$C$6),MAX($T$1:T152)+1,"")</f>
        <v>33</v>
      </c>
    </row>
    <row r="154" spans="1:20" x14ac:dyDescent="0.25">
      <c r="A154" t="s">
        <v>617</v>
      </c>
      <c r="B154" s="103">
        <v>45623</v>
      </c>
      <c r="C154" t="s">
        <v>170</v>
      </c>
      <c r="D154" t="s">
        <v>465</v>
      </c>
      <c r="E154" t="s">
        <v>422</v>
      </c>
      <c r="F154" t="s">
        <v>109</v>
      </c>
      <c r="G154" t="s">
        <v>42</v>
      </c>
      <c r="H154">
        <v>2</v>
      </c>
      <c r="I154" s="104">
        <v>149.99</v>
      </c>
      <c r="J154" t="s">
        <v>90</v>
      </c>
      <c r="K154" t="s">
        <v>43</v>
      </c>
      <c r="L154" t="s">
        <v>96</v>
      </c>
      <c r="M154" s="103">
        <v>45101</v>
      </c>
      <c r="N154" s="104">
        <v>299.98</v>
      </c>
      <c r="O154" s="105">
        <f t="shared" si="8"/>
        <v>45626</v>
      </c>
      <c r="P154" s="106">
        <f t="shared" si="9"/>
        <v>1</v>
      </c>
      <c r="Q154" s="106">
        <f>COUNTIF($D$2:D154,D154)</f>
        <v>3</v>
      </c>
      <c r="R154" s="106" t="str">
        <f t="shared" si="10"/>
        <v>Repeat</v>
      </c>
      <c r="S154" s="106" t="str">
        <f t="shared" si="11"/>
        <v>BOO</v>
      </c>
      <c r="T154" s="106" t="str">
        <f>IF(AND(OR('Filter Demo'!$C$4="All",K154='Filter Demo'!$C$4),OR('Filter Demo'!$C$5="All",G154='Filter Demo'!$C$5),N154&gt;='Filter Demo'!$C$6),MAX($T$1:T153)+1,"")</f>
        <v/>
      </c>
    </row>
    <row r="155" spans="1:20" x14ac:dyDescent="0.25">
      <c r="A155" t="s">
        <v>618</v>
      </c>
      <c r="B155" s="103">
        <v>45627</v>
      </c>
      <c r="C155" t="s">
        <v>177</v>
      </c>
      <c r="D155" t="s">
        <v>416</v>
      </c>
      <c r="E155" t="s">
        <v>460</v>
      </c>
      <c r="F155" t="s">
        <v>108</v>
      </c>
      <c r="G155" t="s">
        <v>42</v>
      </c>
      <c r="H155">
        <v>3</v>
      </c>
      <c r="I155" s="104">
        <v>299.99</v>
      </c>
      <c r="J155" t="s">
        <v>90</v>
      </c>
      <c r="K155" t="s">
        <v>43</v>
      </c>
      <c r="L155" t="s">
        <v>97</v>
      </c>
      <c r="M155" s="103">
        <v>44659</v>
      </c>
      <c r="N155" s="104">
        <v>899.97</v>
      </c>
      <c r="O155" s="105">
        <f t="shared" si="8"/>
        <v>45657</v>
      </c>
      <c r="P155" s="106">
        <f t="shared" si="9"/>
        <v>2</v>
      </c>
      <c r="Q155" s="106">
        <f>COUNTIF($D$2:D155,D155)</f>
        <v>4</v>
      </c>
      <c r="R155" s="106" t="str">
        <f t="shared" si="10"/>
        <v>Repeat</v>
      </c>
      <c r="S155" s="106" t="str">
        <f t="shared" si="11"/>
        <v>DES</v>
      </c>
      <c r="T155" s="106" t="str">
        <f>IF(AND(OR('Filter Demo'!$C$4="All",K155='Filter Demo'!$C$4),OR('Filter Demo'!$C$5="All",G155='Filter Demo'!$C$5),N155&gt;='Filter Demo'!$C$6),MAX($T$1:T154)+1,"")</f>
        <v/>
      </c>
    </row>
    <row r="156" spans="1:20" x14ac:dyDescent="0.25">
      <c r="A156" t="s">
        <v>619</v>
      </c>
      <c r="B156" s="103">
        <v>45627</v>
      </c>
      <c r="C156" t="s">
        <v>173</v>
      </c>
      <c r="D156" t="s">
        <v>428</v>
      </c>
      <c r="E156" t="s">
        <v>412</v>
      </c>
      <c r="F156" t="s">
        <v>110</v>
      </c>
      <c r="G156" t="s">
        <v>40</v>
      </c>
      <c r="H156">
        <v>5</v>
      </c>
      <c r="I156" s="104">
        <v>249.99</v>
      </c>
      <c r="J156" t="s">
        <v>90</v>
      </c>
      <c r="K156" t="s">
        <v>37</v>
      </c>
      <c r="L156" t="s">
        <v>97</v>
      </c>
      <c r="M156" s="103">
        <v>44485</v>
      </c>
      <c r="N156" s="104">
        <v>1249.95</v>
      </c>
      <c r="O156" s="105">
        <f t="shared" si="8"/>
        <v>45657</v>
      </c>
      <c r="P156" s="106">
        <f t="shared" si="9"/>
        <v>3</v>
      </c>
      <c r="Q156" s="106">
        <f>COUNTIF($D$2:D156,D156)</f>
        <v>6</v>
      </c>
      <c r="R156" s="106" t="str">
        <f t="shared" si="10"/>
        <v>Repeat</v>
      </c>
      <c r="S156" s="106" t="str">
        <f t="shared" si="11"/>
        <v>MON</v>
      </c>
      <c r="T156" s="106">
        <f>IF(AND(OR('Filter Demo'!$C$4="All",K156='Filter Demo'!$C$4),OR('Filter Demo'!$C$5="All",G156='Filter Demo'!$C$5),N156&gt;='Filter Demo'!$C$6),MAX($T$1:T155)+1,"")</f>
        <v>34</v>
      </c>
    </row>
    <row r="157" spans="1:20" x14ac:dyDescent="0.25">
      <c r="A157" t="s">
        <v>620</v>
      </c>
      <c r="B157" s="103">
        <v>45627</v>
      </c>
      <c r="C157" t="s">
        <v>169</v>
      </c>
      <c r="D157" t="s">
        <v>414</v>
      </c>
      <c r="E157" t="s">
        <v>426</v>
      </c>
      <c r="F157" t="s">
        <v>104</v>
      </c>
      <c r="G157" t="s">
        <v>40</v>
      </c>
      <c r="H157">
        <v>2</v>
      </c>
      <c r="I157" s="104">
        <v>149.99</v>
      </c>
      <c r="J157" t="s">
        <v>90</v>
      </c>
      <c r="K157" t="s">
        <v>43</v>
      </c>
      <c r="L157" t="s">
        <v>97</v>
      </c>
      <c r="M157" s="103">
        <v>44475</v>
      </c>
      <c r="N157" s="104">
        <v>299.98</v>
      </c>
      <c r="O157" s="105">
        <f t="shared" si="8"/>
        <v>45657</v>
      </c>
      <c r="P157" s="106">
        <f t="shared" si="9"/>
        <v>3</v>
      </c>
      <c r="Q157" s="106">
        <f>COUNTIF($D$2:D157,D157)</f>
        <v>5</v>
      </c>
      <c r="R157" s="106" t="str">
        <f t="shared" si="10"/>
        <v>Repeat</v>
      </c>
      <c r="S157" s="106" t="str">
        <f t="shared" si="11"/>
        <v>HEA</v>
      </c>
      <c r="T157" s="106" t="str">
        <f>IF(AND(OR('Filter Demo'!$C$4="All",K157='Filter Demo'!$C$4),OR('Filter Demo'!$C$5="All",G157='Filter Demo'!$C$5),N157&gt;='Filter Demo'!$C$6),MAX($T$1:T156)+1,"")</f>
        <v/>
      </c>
    </row>
    <row r="158" spans="1:20" x14ac:dyDescent="0.25">
      <c r="A158" t="s">
        <v>621</v>
      </c>
      <c r="B158" s="103">
        <v>45627</v>
      </c>
      <c r="C158" t="s">
        <v>181</v>
      </c>
      <c r="D158" t="s">
        <v>447</v>
      </c>
      <c r="E158" t="s">
        <v>443</v>
      </c>
      <c r="F158" t="s">
        <v>103</v>
      </c>
      <c r="G158" t="s">
        <v>40</v>
      </c>
      <c r="H158">
        <v>5</v>
      </c>
      <c r="I158" s="104">
        <v>699.99</v>
      </c>
      <c r="J158" t="s">
        <v>92</v>
      </c>
      <c r="K158" t="s">
        <v>44</v>
      </c>
      <c r="L158" t="s">
        <v>96</v>
      </c>
      <c r="M158" s="103">
        <v>44944</v>
      </c>
      <c r="N158" s="104">
        <v>3499.95</v>
      </c>
      <c r="O158" s="105">
        <f t="shared" si="8"/>
        <v>45657</v>
      </c>
      <c r="P158" s="106">
        <f t="shared" si="9"/>
        <v>1</v>
      </c>
      <c r="Q158" s="106">
        <f>COUNTIF($D$2:D158,D158)</f>
        <v>9</v>
      </c>
      <c r="R158" s="106" t="str">
        <f t="shared" si="10"/>
        <v>Repeat</v>
      </c>
      <c r="S158" s="106" t="str">
        <f t="shared" si="11"/>
        <v>SMA</v>
      </c>
      <c r="T158" s="106">
        <f>IF(AND(OR('Filter Demo'!$C$4="All",K158='Filter Demo'!$C$4),OR('Filter Demo'!$C$5="All",G158='Filter Demo'!$C$5),N158&gt;='Filter Demo'!$C$6),MAX($T$1:T157)+1,"")</f>
        <v>35</v>
      </c>
    </row>
    <row r="159" spans="1:20" x14ac:dyDescent="0.25">
      <c r="A159" t="s">
        <v>622</v>
      </c>
      <c r="B159" s="103">
        <v>45629</v>
      </c>
      <c r="C159" t="s">
        <v>167</v>
      </c>
      <c r="D159" t="s">
        <v>577</v>
      </c>
      <c r="E159" t="s">
        <v>412</v>
      </c>
      <c r="F159" t="s">
        <v>110</v>
      </c>
      <c r="G159" t="s">
        <v>40</v>
      </c>
      <c r="H159">
        <v>4</v>
      </c>
      <c r="I159" s="104">
        <v>249.99</v>
      </c>
      <c r="J159" t="s">
        <v>93</v>
      </c>
      <c r="K159" t="s">
        <v>39</v>
      </c>
      <c r="L159" t="s">
        <v>97</v>
      </c>
      <c r="M159" s="103">
        <v>45098</v>
      </c>
      <c r="N159" s="104">
        <v>999.96</v>
      </c>
      <c r="O159" s="105">
        <f t="shared" si="8"/>
        <v>45657</v>
      </c>
      <c r="P159" s="106">
        <f t="shared" si="9"/>
        <v>1</v>
      </c>
      <c r="Q159" s="106">
        <f>COUNTIF($D$2:D159,D159)</f>
        <v>2</v>
      </c>
      <c r="R159" s="106" t="str">
        <f t="shared" si="10"/>
        <v>Repeat</v>
      </c>
      <c r="S159" s="106" t="str">
        <f t="shared" si="11"/>
        <v>MON</v>
      </c>
      <c r="T159" s="106" t="str">
        <f>IF(AND(OR('Filter Demo'!$C$4="All",K159='Filter Demo'!$C$4),OR('Filter Demo'!$C$5="All",G159='Filter Demo'!$C$5),N159&gt;='Filter Demo'!$C$6),MAX($T$1:T158)+1,"")</f>
        <v/>
      </c>
    </row>
    <row r="160" spans="1:20" x14ac:dyDescent="0.25">
      <c r="A160" t="s">
        <v>623</v>
      </c>
      <c r="B160" s="103">
        <v>45630</v>
      </c>
      <c r="C160" t="s">
        <v>180</v>
      </c>
      <c r="D160" t="s">
        <v>424</v>
      </c>
      <c r="E160" t="s">
        <v>443</v>
      </c>
      <c r="F160" t="s">
        <v>103</v>
      </c>
      <c r="G160" t="s">
        <v>40</v>
      </c>
      <c r="H160">
        <v>4</v>
      </c>
      <c r="I160" s="104">
        <v>699.99</v>
      </c>
      <c r="J160" t="s">
        <v>91</v>
      </c>
      <c r="K160" t="s">
        <v>41</v>
      </c>
      <c r="L160" t="s">
        <v>97</v>
      </c>
      <c r="M160" s="103">
        <v>44703</v>
      </c>
      <c r="N160" s="104">
        <v>2799.96</v>
      </c>
      <c r="O160" s="105">
        <f t="shared" si="8"/>
        <v>45657</v>
      </c>
      <c r="P160" s="106">
        <f t="shared" si="9"/>
        <v>2</v>
      </c>
      <c r="Q160" s="106">
        <f>COUNTIF($D$2:D160,D160)</f>
        <v>4</v>
      </c>
      <c r="R160" s="106" t="str">
        <f t="shared" si="10"/>
        <v>Repeat</v>
      </c>
      <c r="S160" s="106" t="str">
        <f t="shared" si="11"/>
        <v>SMA</v>
      </c>
      <c r="T160" s="106">
        <f>IF(AND(OR('Filter Demo'!$C$4="All",K160='Filter Demo'!$C$4),OR('Filter Demo'!$C$5="All",G160='Filter Demo'!$C$5),N160&gt;='Filter Demo'!$C$6),MAX($T$1:T159)+1,"")</f>
        <v>36</v>
      </c>
    </row>
    <row r="161" spans="1:20" x14ac:dyDescent="0.25">
      <c r="A161" t="s">
        <v>624</v>
      </c>
      <c r="B161" s="103">
        <v>45635</v>
      </c>
      <c r="C161" t="s">
        <v>192</v>
      </c>
      <c r="D161" t="s">
        <v>462</v>
      </c>
      <c r="E161" t="s">
        <v>412</v>
      </c>
      <c r="F161" t="s">
        <v>110</v>
      </c>
      <c r="G161" t="s">
        <v>40</v>
      </c>
      <c r="H161">
        <v>2</v>
      </c>
      <c r="I161" s="104">
        <v>249.99</v>
      </c>
      <c r="J161" t="s">
        <v>91</v>
      </c>
      <c r="K161" t="s">
        <v>37</v>
      </c>
      <c r="L161" t="s">
        <v>97</v>
      </c>
      <c r="M161" s="103">
        <v>44396</v>
      </c>
      <c r="N161" s="104">
        <v>499.98</v>
      </c>
      <c r="O161" s="105">
        <f t="shared" si="8"/>
        <v>45657</v>
      </c>
      <c r="P161" s="106">
        <f t="shared" si="9"/>
        <v>3</v>
      </c>
      <c r="Q161" s="106">
        <f>COUNTIF($D$2:D161,D161)</f>
        <v>3</v>
      </c>
      <c r="R161" s="106" t="str">
        <f t="shared" si="10"/>
        <v>Repeat</v>
      </c>
      <c r="S161" s="106" t="str">
        <f t="shared" si="11"/>
        <v>MON</v>
      </c>
      <c r="T161" s="106" t="str">
        <f>IF(AND(OR('Filter Demo'!$C$4="All",K161='Filter Demo'!$C$4),OR('Filter Demo'!$C$5="All",G161='Filter Demo'!$C$5),N161&gt;='Filter Demo'!$C$6),MAX($T$1:T160)+1,"")</f>
        <v/>
      </c>
    </row>
    <row r="162" spans="1:20" x14ac:dyDescent="0.25">
      <c r="A162" t="s">
        <v>625</v>
      </c>
      <c r="B162" s="103">
        <v>45635</v>
      </c>
      <c r="C162" t="s">
        <v>161</v>
      </c>
      <c r="D162" t="s">
        <v>626</v>
      </c>
      <c r="E162" t="s">
        <v>417</v>
      </c>
      <c r="F162" t="s">
        <v>106</v>
      </c>
      <c r="G162" t="s">
        <v>38</v>
      </c>
      <c r="H162">
        <v>3</v>
      </c>
      <c r="I162" s="104">
        <v>59.99</v>
      </c>
      <c r="J162" t="s">
        <v>90</v>
      </c>
      <c r="K162" t="s">
        <v>37</v>
      </c>
      <c r="L162" t="s">
        <v>97</v>
      </c>
      <c r="M162" s="103">
        <v>45052</v>
      </c>
      <c r="N162" s="104">
        <v>179.97</v>
      </c>
      <c r="O162" s="105">
        <f t="shared" si="8"/>
        <v>45657</v>
      </c>
      <c r="P162" s="106">
        <f t="shared" si="9"/>
        <v>1</v>
      </c>
      <c r="Q162" s="106">
        <f>COUNTIF($D$2:D162,D162)</f>
        <v>1</v>
      </c>
      <c r="R162" s="106" t="str">
        <f t="shared" si="10"/>
        <v>Single</v>
      </c>
      <c r="S162" s="106" t="str">
        <f t="shared" si="11"/>
        <v>BLE</v>
      </c>
      <c r="T162" s="106" t="str">
        <f>IF(AND(OR('Filter Demo'!$C$4="All",K162='Filter Demo'!$C$4),OR('Filter Demo'!$C$5="All",G162='Filter Demo'!$C$5),N162&gt;='Filter Demo'!$C$6),MAX($T$1:T161)+1,"")</f>
        <v/>
      </c>
    </row>
    <row r="163" spans="1:20" x14ac:dyDescent="0.25">
      <c r="A163" t="s">
        <v>627</v>
      </c>
      <c r="B163" s="103">
        <v>45635</v>
      </c>
      <c r="C163" t="s">
        <v>164</v>
      </c>
      <c r="D163" t="s">
        <v>485</v>
      </c>
      <c r="E163" t="s">
        <v>466</v>
      </c>
      <c r="F163" t="s">
        <v>105</v>
      </c>
      <c r="G163" t="s">
        <v>38</v>
      </c>
      <c r="H163">
        <v>4</v>
      </c>
      <c r="I163" s="104">
        <v>79.989999999999995</v>
      </c>
      <c r="J163" t="s">
        <v>92</v>
      </c>
      <c r="K163" t="s">
        <v>39</v>
      </c>
      <c r="L163" t="s">
        <v>96</v>
      </c>
      <c r="M163" s="103">
        <v>44921</v>
      </c>
      <c r="N163" s="104">
        <v>319.95999999999998</v>
      </c>
      <c r="O163" s="105">
        <f t="shared" si="8"/>
        <v>45657</v>
      </c>
      <c r="P163" s="106">
        <f t="shared" si="9"/>
        <v>1</v>
      </c>
      <c r="Q163" s="106">
        <f>COUNTIF($D$2:D163,D163)</f>
        <v>4</v>
      </c>
      <c r="R163" s="106" t="str">
        <f t="shared" si="10"/>
        <v>Repeat</v>
      </c>
      <c r="S163" s="106" t="str">
        <f t="shared" si="11"/>
        <v>CM</v>
      </c>
      <c r="T163" s="106" t="str">
        <f>IF(AND(OR('Filter Demo'!$C$4="All",K163='Filter Demo'!$C$4),OR('Filter Demo'!$C$5="All",G163='Filter Demo'!$C$5),N163&gt;='Filter Demo'!$C$6),MAX($T$1:T162)+1,"")</f>
        <v/>
      </c>
    </row>
    <row r="164" spans="1:20" x14ac:dyDescent="0.25">
      <c r="A164" t="s">
        <v>628</v>
      </c>
      <c r="B164" s="103">
        <v>45636</v>
      </c>
      <c r="C164" t="s">
        <v>186</v>
      </c>
      <c r="D164" t="s">
        <v>470</v>
      </c>
      <c r="E164" t="s">
        <v>466</v>
      </c>
      <c r="F164" t="s">
        <v>105</v>
      </c>
      <c r="G164" t="s">
        <v>38</v>
      </c>
      <c r="H164">
        <v>3</v>
      </c>
      <c r="I164" s="104">
        <v>79.989999999999995</v>
      </c>
      <c r="J164" t="s">
        <v>92</v>
      </c>
      <c r="K164" t="s">
        <v>39</v>
      </c>
      <c r="L164" t="s">
        <v>96</v>
      </c>
      <c r="M164" s="103">
        <v>44779</v>
      </c>
      <c r="N164" s="104">
        <v>239.97</v>
      </c>
      <c r="O164" s="105">
        <f t="shared" si="8"/>
        <v>45657</v>
      </c>
      <c r="P164" s="106">
        <f t="shared" si="9"/>
        <v>2</v>
      </c>
      <c r="Q164" s="106">
        <f>COUNTIF($D$2:D164,D164)</f>
        <v>4</v>
      </c>
      <c r="R164" s="106" t="str">
        <f t="shared" si="10"/>
        <v>Repeat</v>
      </c>
      <c r="S164" s="106" t="str">
        <f t="shared" si="11"/>
        <v>CM</v>
      </c>
      <c r="T164" s="106" t="str">
        <f>IF(AND(OR('Filter Demo'!$C$4="All",K164='Filter Demo'!$C$4),OR('Filter Demo'!$C$5="All",G164='Filter Demo'!$C$5),N164&gt;='Filter Demo'!$C$6),MAX($T$1:T163)+1,"")</f>
        <v/>
      </c>
    </row>
    <row r="165" spans="1:20" x14ac:dyDescent="0.25">
      <c r="A165" t="s">
        <v>629</v>
      </c>
      <c r="B165" s="103">
        <v>45638</v>
      </c>
      <c r="C165" t="s">
        <v>197</v>
      </c>
      <c r="D165" t="s">
        <v>438</v>
      </c>
      <c r="E165" t="s">
        <v>431</v>
      </c>
      <c r="F165" t="s">
        <v>102</v>
      </c>
      <c r="G165" t="s">
        <v>40</v>
      </c>
      <c r="H165">
        <v>2</v>
      </c>
      <c r="I165" s="104">
        <v>899.99</v>
      </c>
      <c r="J165" t="s">
        <v>90</v>
      </c>
      <c r="K165" t="s">
        <v>41</v>
      </c>
      <c r="L165" t="s">
        <v>95</v>
      </c>
      <c r="M165" s="103">
        <v>44406</v>
      </c>
      <c r="N165" s="104">
        <v>1799.98</v>
      </c>
      <c r="O165" s="105">
        <f t="shared" si="8"/>
        <v>45657</v>
      </c>
      <c r="P165" s="106">
        <f t="shared" si="9"/>
        <v>3</v>
      </c>
      <c r="Q165" s="106">
        <f>COUNTIF($D$2:D165,D165)</f>
        <v>5</v>
      </c>
      <c r="R165" s="106" t="str">
        <f t="shared" si="10"/>
        <v>Repeat</v>
      </c>
      <c r="S165" s="106" t="str">
        <f t="shared" si="11"/>
        <v>LAP</v>
      </c>
      <c r="T165" s="106">
        <f>IF(AND(OR('Filter Demo'!$C$4="All",K165='Filter Demo'!$C$4),OR('Filter Demo'!$C$5="All",G165='Filter Demo'!$C$5),N165&gt;='Filter Demo'!$C$6),MAX($T$1:T164)+1,"")</f>
        <v>37</v>
      </c>
    </row>
    <row r="166" spans="1:20" x14ac:dyDescent="0.25">
      <c r="A166" t="s">
        <v>630</v>
      </c>
      <c r="B166" s="103">
        <v>45641</v>
      </c>
      <c r="C166" t="s">
        <v>163</v>
      </c>
      <c r="D166" t="s">
        <v>518</v>
      </c>
      <c r="E166" t="s">
        <v>422</v>
      </c>
      <c r="F166" t="s">
        <v>109</v>
      </c>
      <c r="G166" t="s">
        <v>42</v>
      </c>
      <c r="H166">
        <v>1</v>
      </c>
      <c r="I166" s="104">
        <v>149.99</v>
      </c>
      <c r="J166" t="s">
        <v>92</v>
      </c>
      <c r="K166" t="s">
        <v>39</v>
      </c>
      <c r="L166" t="s">
        <v>96</v>
      </c>
      <c r="M166" s="103">
        <v>45200</v>
      </c>
      <c r="N166" s="104">
        <v>149.99</v>
      </c>
      <c r="O166" s="105">
        <f t="shared" si="8"/>
        <v>45657</v>
      </c>
      <c r="P166" s="106">
        <f t="shared" si="9"/>
        <v>1</v>
      </c>
      <c r="Q166" s="106">
        <f>COUNTIF($D$2:D166,D166)</f>
        <v>4</v>
      </c>
      <c r="R166" s="106" t="str">
        <f t="shared" si="10"/>
        <v>Repeat</v>
      </c>
      <c r="S166" s="106" t="str">
        <f t="shared" si="11"/>
        <v>BOO</v>
      </c>
      <c r="T166" s="106" t="str">
        <f>IF(AND(OR('Filter Demo'!$C$4="All",K166='Filter Demo'!$C$4),OR('Filter Demo'!$C$5="All",G166='Filter Demo'!$C$5),N166&gt;='Filter Demo'!$C$6),MAX($T$1:T165)+1,"")</f>
        <v/>
      </c>
    </row>
    <row r="167" spans="1:20" x14ac:dyDescent="0.25">
      <c r="A167" t="s">
        <v>631</v>
      </c>
      <c r="B167" s="103">
        <v>45641</v>
      </c>
      <c r="C167" t="s">
        <v>187</v>
      </c>
      <c r="D167" t="s">
        <v>483</v>
      </c>
      <c r="E167" t="s">
        <v>460</v>
      </c>
      <c r="F167" t="s">
        <v>108</v>
      </c>
      <c r="G167" t="s">
        <v>42</v>
      </c>
      <c r="H167">
        <v>2</v>
      </c>
      <c r="I167" s="104">
        <v>299.99</v>
      </c>
      <c r="J167" t="s">
        <v>90</v>
      </c>
      <c r="K167" t="s">
        <v>39</v>
      </c>
      <c r="L167" t="s">
        <v>97</v>
      </c>
      <c r="M167" s="103">
        <v>44724</v>
      </c>
      <c r="N167" s="104">
        <v>599.98</v>
      </c>
      <c r="O167" s="105">
        <f t="shared" si="8"/>
        <v>45657</v>
      </c>
      <c r="P167" s="106">
        <f t="shared" si="9"/>
        <v>2</v>
      </c>
      <c r="Q167" s="106">
        <f>COUNTIF($D$2:D167,D167)</f>
        <v>3</v>
      </c>
      <c r="R167" s="106" t="str">
        <f t="shared" si="10"/>
        <v>Repeat</v>
      </c>
      <c r="S167" s="106" t="str">
        <f t="shared" si="11"/>
        <v>DES</v>
      </c>
      <c r="T167" s="106" t="str">
        <f>IF(AND(OR('Filter Demo'!$C$4="All",K167='Filter Demo'!$C$4),OR('Filter Demo'!$C$5="All",G167='Filter Demo'!$C$5),N167&gt;='Filter Demo'!$C$6),MAX($T$1:T166)+1,"")</f>
        <v/>
      </c>
    </row>
    <row r="168" spans="1:20" x14ac:dyDescent="0.25">
      <c r="A168" t="s">
        <v>632</v>
      </c>
      <c r="B168" s="103">
        <v>45644</v>
      </c>
      <c r="C168" t="s">
        <v>158</v>
      </c>
      <c r="D168" t="s">
        <v>478</v>
      </c>
      <c r="E168" t="s">
        <v>417</v>
      </c>
      <c r="F168" t="s">
        <v>106</v>
      </c>
      <c r="G168" t="s">
        <v>38</v>
      </c>
      <c r="H168">
        <v>2</v>
      </c>
      <c r="I168" s="104">
        <v>59.99</v>
      </c>
      <c r="J168" t="s">
        <v>90</v>
      </c>
      <c r="K168" t="s">
        <v>44</v>
      </c>
      <c r="L168" t="s">
        <v>95</v>
      </c>
      <c r="M168" s="103">
        <v>45191</v>
      </c>
      <c r="N168" s="104">
        <v>119.98</v>
      </c>
      <c r="O168" s="105">
        <f t="shared" si="8"/>
        <v>45657</v>
      </c>
      <c r="P168" s="106">
        <f t="shared" si="9"/>
        <v>1</v>
      </c>
      <c r="Q168" s="106">
        <f>COUNTIF($D$2:D168,D168)</f>
        <v>4</v>
      </c>
      <c r="R168" s="106" t="str">
        <f t="shared" si="10"/>
        <v>Repeat</v>
      </c>
      <c r="S168" s="106" t="str">
        <f t="shared" si="11"/>
        <v>BLE</v>
      </c>
      <c r="T168" s="106" t="str">
        <f>IF(AND(OR('Filter Demo'!$C$4="All",K168='Filter Demo'!$C$4),OR('Filter Demo'!$C$5="All",G168='Filter Demo'!$C$5),N168&gt;='Filter Demo'!$C$6),MAX($T$1:T167)+1,"")</f>
        <v/>
      </c>
    </row>
    <row r="169" spans="1:20" x14ac:dyDescent="0.25">
      <c r="A169" t="s">
        <v>633</v>
      </c>
      <c r="B169" s="103">
        <v>45645</v>
      </c>
      <c r="C169" t="s">
        <v>163</v>
      </c>
      <c r="D169" t="s">
        <v>518</v>
      </c>
      <c r="E169" t="s">
        <v>468</v>
      </c>
      <c r="F169" t="s">
        <v>111</v>
      </c>
      <c r="G169" t="s">
        <v>40</v>
      </c>
      <c r="H169">
        <v>1</v>
      </c>
      <c r="I169" s="104">
        <v>89.99</v>
      </c>
      <c r="J169" t="s">
        <v>92</v>
      </c>
      <c r="K169" t="s">
        <v>37</v>
      </c>
      <c r="L169" t="s">
        <v>96</v>
      </c>
      <c r="M169" s="103">
        <v>44760</v>
      </c>
      <c r="N169" s="104">
        <v>89.99</v>
      </c>
      <c r="O169" s="105">
        <f t="shared" si="8"/>
        <v>45657</v>
      </c>
      <c r="P169" s="106">
        <f t="shared" si="9"/>
        <v>2</v>
      </c>
      <c r="Q169" s="106">
        <f>COUNTIF($D$2:D169,D169)</f>
        <v>5</v>
      </c>
      <c r="R169" s="106" t="str">
        <f t="shared" si="10"/>
        <v>Repeat</v>
      </c>
      <c r="S169" s="106" t="str">
        <f t="shared" si="11"/>
        <v>KEY</v>
      </c>
      <c r="T169" s="106" t="str">
        <f>IF(AND(OR('Filter Demo'!$C$4="All",K169='Filter Demo'!$C$4),OR('Filter Demo'!$C$5="All",G169='Filter Demo'!$C$5),N169&gt;='Filter Demo'!$C$6),MAX($T$1:T168)+1,"")</f>
        <v/>
      </c>
    </row>
    <row r="170" spans="1:20" x14ac:dyDescent="0.25">
      <c r="A170" t="s">
        <v>634</v>
      </c>
      <c r="B170" s="103">
        <v>45645</v>
      </c>
      <c r="C170" t="s">
        <v>175</v>
      </c>
      <c r="D170" t="s">
        <v>489</v>
      </c>
      <c r="E170" t="s">
        <v>431</v>
      </c>
      <c r="F170" t="s">
        <v>102</v>
      </c>
      <c r="G170" t="s">
        <v>40</v>
      </c>
      <c r="H170">
        <v>5</v>
      </c>
      <c r="I170" s="104">
        <v>899.99</v>
      </c>
      <c r="J170" t="s">
        <v>92</v>
      </c>
      <c r="K170" t="s">
        <v>39</v>
      </c>
      <c r="L170" t="s">
        <v>96</v>
      </c>
      <c r="M170" s="103">
        <v>44625</v>
      </c>
      <c r="N170" s="104">
        <v>4499.95</v>
      </c>
      <c r="O170" s="105">
        <f t="shared" si="8"/>
        <v>45657</v>
      </c>
      <c r="P170" s="106">
        <f t="shared" si="9"/>
        <v>2</v>
      </c>
      <c r="Q170" s="106">
        <f>COUNTIF($D$2:D170,D170)</f>
        <v>6</v>
      </c>
      <c r="R170" s="106" t="str">
        <f t="shared" si="10"/>
        <v>Repeat</v>
      </c>
      <c r="S170" s="106" t="str">
        <f t="shared" si="11"/>
        <v>LAP</v>
      </c>
      <c r="T170" s="106">
        <f>IF(AND(OR('Filter Demo'!$C$4="All",K170='Filter Demo'!$C$4),OR('Filter Demo'!$C$5="All",G170='Filter Demo'!$C$5),N170&gt;='Filter Demo'!$C$6),MAX($T$1:T169)+1,"")</f>
        <v>38</v>
      </c>
    </row>
    <row r="171" spans="1:20" x14ac:dyDescent="0.25">
      <c r="A171" t="s">
        <v>635</v>
      </c>
      <c r="B171" s="103">
        <v>45646</v>
      </c>
      <c r="C171" t="s">
        <v>159</v>
      </c>
      <c r="D171" t="s">
        <v>421</v>
      </c>
      <c r="E171" t="s">
        <v>422</v>
      </c>
      <c r="F171" t="s">
        <v>109</v>
      </c>
      <c r="G171" t="s">
        <v>42</v>
      </c>
      <c r="H171">
        <v>2</v>
      </c>
      <c r="I171" s="104">
        <v>149.99</v>
      </c>
      <c r="J171" t="s">
        <v>90</v>
      </c>
      <c r="K171" t="s">
        <v>43</v>
      </c>
      <c r="L171" t="s">
        <v>95</v>
      </c>
      <c r="M171" s="103">
        <v>45239</v>
      </c>
      <c r="N171" s="104">
        <v>299.98</v>
      </c>
      <c r="O171" s="105">
        <f t="shared" si="8"/>
        <v>45657</v>
      </c>
      <c r="P171" s="106">
        <f t="shared" si="9"/>
        <v>1</v>
      </c>
      <c r="Q171" s="106">
        <f>COUNTIF($D$2:D171,D171)</f>
        <v>5</v>
      </c>
      <c r="R171" s="106" t="str">
        <f t="shared" si="10"/>
        <v>Repeat</v>
      </c>
      <c r="S171" s="106" t="str">
        <f t="shared" si="11"/>
        <v>BOO</v>
      </c>
      <c r="T171" s="106" t="str">
        <f>IF(AND(OR('Filter Demo'!$C$4="All",K171='Filter Demo'!$C$4),OR('Filter Demo'!$C$5="All",G171='Filter Demo'!$C$5),N171&gt;='Filter Demo'!$C$6),MAX($T$1:T170)+1,"")</f>
        <v/>
      </c>
    </row>
    <row r="172" spans="1:20" x14ac:dyDescent="0.25">
      <c r="A172" t="s">
        <v>636</v>
      </c>
      <c r="B172" s="103">
        <v>45648</v>
      </c>
      <c r="C172" t="s">
        <v>170</v>
      </c>
      <c r="D172" t="s">
        <v>465</v>
      </c>
      <c r="E172" t="s">
        <v>426</v>
      </c>
      <c r="F172" t="s">
        <v>104</v>
      </c>
      <c r="G172" t="s">
        <v>40</v>
      </c>
      <c r="H172">
        <v>2</v>
      </c>
      <c r="I172" s="104">
        <v>149.99</v>
      </c>
      <c r="J172" t="s">
        <v>92</v>
      </c>
      <c r="K172" t="s">
        <v>44</v>
      </c>
      <c r="L172" t="s">
        <v>97</v>
      </c>
      <c r="M172" s="103">
        <v>45280</v>
      </c>
      <c r="N172" s="104">
        <v>299.98</v>
      </c>
      <c r="O172" s="105">
        <f t="shared" si="8"/>
        <v>45657</v>
      </c>
      <c r="P172" s="106">
        <f t="shared" si="9"/>
        <v>1</v>
      </c>
      <c r="Q172" s="106">
        <f>COUNTIF($D$2:D172,D172)</f>
        <v>4</v>
      </c>
      <c r="R172" s="106" t="str">
        <f t="shared" si="10"/>
        <v>Repeat</v>
      </c>
      <c r="S172" s="106" t="str">
        <f t="shared" si="11"/>
        <v>HEA</v>
      </c>
      <c r="T172" s="106" t="str">
        <f>IF(AND(OR('Filter Demo'!$C$4="All",K172='Filter Demo'!$C$4),OR('Filter Demo'!$C$5="All",G172='Filter Demo'!$C$5),N172&gt;='Filter Demo'!$C$6),MAX($T$1:T171)+1,"")</f>
        <v/>
      </c>
    </row>
    <row r="173" spans="1:20" x14ac:dyDescent="0.25">
      <c r="A173" t="s">
        <v>637</v>
      </c>
      <c r="B173" s="103">
        <v>45648</v>
      </c>
      <c r="C173" t="s">
        <v>163</v>
      </c>
      <c r="D173" t="s">
        <v>518</v>
      </c>
      <c r="E173" t="s">
        <v>422</v>
      </c>
      <c r="F173" t="s">
        <v>109</v>
      </c>
      <c r="G173" t="s">
        <v>42</v>
      </c>
      <c r="H173">
        <v>3</v>
      </c>
      <c r="I173" s="104">
        <v>149.99</v>
      </c>
      <c r="J173" t="s">
        <v>92</v>
      </c>
      <c r="K173" t="s">
        <v>41</v>
      </c>
      <c r="L173" t="s">
        <v>96</v>
      </c>
      <c r="M173" s="103">
        <v>44522</v>
      </c>
      <c r="N173" s="104">
        <v>449.97</v>
      </c>
      <c r="O173" s="105">
        <f t="shared" si="8"/>
        <v>45657</v>
      </c>
      <c r="P173" s="106">
        <f t="shared" si="9"/>
        <v>3</v>
      </c>
      <c r="Q173" s="106">
        <f>COUNTIF($D$2:D173,D173)</f>
        <v>6</v>
      </c>
      <c r="R173" s="106" t="str">
        <f t="shared" si="10"/>
        <v>Repeat</v>
      </c>
      <c r="S173" s="106" t="str">
        <f t="shared" si="11"/>
        <v>BOO</v>
      </c>
      <c r="T173" s="106" t="str">
        <f>IF(AND(OR('Filter Demo'!$C$4="All",K173='Filter Demo'!$C$4),OR('Filter Demo'!$C$5="All",G173='Filter Demo'!$C$5),N173&gt;='Filter Demo'!$C$6),MAX($T$1:T172)+1,"")</f>
        <v/>
      </c>
    </row>
    <row r="174" spans="1:20" x14ac:dyDescent="0.25">
      <c r="A174" t="s">
        <v>638</v>
      </c>
      <c r="B174" s="103">
        <v>45649</v>
      </c>
      <c r="C174" t="s">
        <v>177</v>
      </c>
      <c r="D174" t="s">
        <v>416</v>
      </c>
      <c r="E174" t="s">
        <v>460</v>
      </c>
      <c r="F174" t="s">
        <v>108</v>
      </c>
      <c r="G174" t="s">
        <v>42</v>
      </c>
      <c r="H174">
        <v>2</v>
      </c>
      <c r="I174" s="104">
        <v>299.99</v>
      </c>
      <c r="J174" t="s">
        <v>93</v>
      </c>
      <c r="K174" t="s">
        <v>43</v>
      </c>
      <c r="L174" t="s">
        <v>95</v>
      </c>
      <c r="M174" s="103">
        <v>44721</v>
      </c>
      <c r="N174" s="104">
        <v>599.98</v>
      </c>
      <c r="O174" s="105">
        <f t="shared" si="8"/>
        <v>45657</v>
      </c>
      <c r="P174" s="106">
        <f t="shared" si="9"/>
        <v>2</v>
      </c>
      <c r="Q174" s="106">
        <f>COUNTIF($D$2:D174,D174)</f>
        <v>5</v>
      </c>
      <c r="R174" s="106" t="str">
        <f t="shared" si="10"/>
        <v>Repeat</v>
      </c>
      <c r="S174" s="106" t="str">
        <f t="shared" si="11"/>
        <v>DES</v>
      </c>
      <c r="T174" s="106" t="str">
        <f>IF(AND(OR('Filter Demo'!$C$4="All",K174='Filter Demo'!$C$4),OR('Filter Demo'!$C$5="All",G174='Filter Demo'!$C$5),N174&gt;='Filter Demo'!$C$6),MAX($T$1:T173)+1,"")</f>
        <v/>
      </c>
    </row>
    <row r="175" spans="1:20" x14ac:dyDescent="0.25">
      <c r="A175" t="s">
        <v>639</v>
      </c>
      <c r="B175" s="103">
        <v>45654</v>
      </c>
      <c r="C175" t="s">
        <v>159</v>
      </c>
      <c r="D175" t="s">
        <v>421</v>
      </c>
      <c r="E175" t="s">
        <v>460</v>
      </c>
      <c r="F175" t="s">
        <v>108</v>
      </c>
      <c r="G175" t="s">
        <v>42</v>
      </c>
      <c r="H175">
        <v>2</v>
      </c>
      <c r="I175" s="104">
        <v>299.99</v>
      </c>
      <c r="J175" t="s">
        <v>90</v>
      </c>
      <c r="K175" t="s">
        <v>44</v>
      </c>
      <c r="L175" t="s">
        <v>95</v>
      </c>
      <c r="M175" s="103">
        <v>44771</v>
      </c>
      <c r="N175" s="104">
        <v>599.98</v>
      </c>
      <c r="O175" s="105">
        <f t="shared" si="8"/>
        <v>45657</v>
      </c>
      <c r="P175" s="106">
        <f t="shared" si="9"/>
        <v>2</v>
      </c>
      <c r="Q175" s="106">
        <f>COUNTIF($D$2:D175,D175)</f>
        <v>6</v>
      </c>
      <c r="R175" s="106" t="str">
        <f t="shared" si="10"/>
        <v>Repeat</v>
      </c>
      <c r="S175" s="106" t="str">
        <f t="shared" si="11"/>
        <v>DES</v>
      </c>
      <c r="T175" s="106" t="str">
        <f>IF(AND(OR('Filter Demo'!$C$4="All",K175='Filter Demo'!$C$4),OR('Filter Demo'!$C$5="All",G175='Filter Demo'!$C$5),N175&gt;='Filter Demo'!$C$6),MAX($T$1:T174)+1,"")</f>
        <v/>
      </c>
    </row>
    <row r="176" spans="1:20" x14ac:dyDescent="0.25">
      <c r="A176" t="s">
        <v>640</v>
      </c>
      <c r="B176" s="103">
        <v>45654</v>
      </c>
      <c r="C176" t="s">
        <v>186</v>
      </c>
      <c r="D176" t="s">
        <v>470</v>
      </c>
      <c r="E176" t="s">
        <v>474</v>
      </c>
      <c r="F176" t="s">
        <v>107</v>
      </c>
      <c r="G176" t="s">
        <v>42</v>
      </c>
      <c r="H176">
        <v>4</v>
      </c>
      <c r="I176" s="104">
        <v>199.99</v>
      </c>
      <c r="J176" t="s">
        <v>91</v>
      </c>
      <c r="K176" t="s">
        <v>37</v>
      </c>
      <c r="L176" t="s">
        <v>95</v>
      </c>
      <c r="M176" s="103">
        <v>44523</v>
      </c>
      <c r="N176" s="104">
        <v>799.96</v>
      </c>
      <c r="O176" s="105">
        <f t="shared" si="8"/>
        <v>45657</v>
      </c>
      <c r="P176" s="106">
        <f t="shared" si="9"/>
        <v>3</v>
      </c>
      <c r="Q176" s="106">
        <f>COUNTIF($D$2:D176,D176)</f>
        <v>5</v>
      </c>
      <c r="R176" s="106" t="str">
        <f t="shared" si="10"/>
        <v>Repeat</v>
      </c>
      <c r="S176" s="106" t="str">
        <f t="shared" si="11"/>
        <v>OC</v>
      </c>
      <c r="T176" s="106" t="str">
        <f>IF(AND(OR('Filter Demo'!$C$4="All",K176='Filter Demo'!$C$4),OR('Filter Demo'!$C$5="All",G176='Filter Demo'!$C$5),N176&gt;='Filter Demo'!$C$6),MAX($T$1:T175)+1,"")</f>
        <v/>
      </c>
    </row>
    <row r="177" spans="1:20" x14ac:dyDescent="0.25">
      <c r="A177" t="s">
        <v>641</v>
      </c>
      <c r="B177" s="103">
        <v>45655</v>
      </c>
      <c r="C177" t="s">
        <v>165</v>
      </c>
      <c r="D177" t="s">
        <v>430</v>
      </c>
      <c r="E177" t="s">
        <v>468</v>
      </c>
      <c r="F177" t="s">
        <v>111</v>
      </c>
      <c r="G177" t="s">
        <v>40</v>
      </c>
      <c r="H177">
        <v>1</v>
      </c>
      <c r="I177" s="104">
        <v>89.99</v>
      </c>
      <c r="J177" t="s">
        <v>91</v>
      </c>
      <c r="K177" t="s">
        <v>43</v>
      </c>
      <c r="L177" t="s">
        <v>97</v>
      </c>
      <c r="M177" s="103">
        <v>44591</v>
      </c>
      <c r="N177" s="104">
        <v>89.99</v>
      </c>
      <c r="O177" s="105">
        <f t="shared" si="8"/>
        <v>45657</v>
      </c>
      <c r="P177" s="106">
        <f t="shared" si="9"/>
        <v>2</v>
      </c>
      <c r="Q177" s="106">
        <f>COUNTIF($D$2:D177,D177)</f>
        <v>3</v>
      </c>
      <c r="R177" s="106" t="str">
        <f t="shared" si="10"/>
        <v>Repeat</v>
      </c>
      <c r="S177" s="106" t="str">
        <f t="shared" si="11"/>
        <v>KEY</v>
      </c>
      <c r="T177" s="106" t="str">
        <f>IF(AND(OR('Filter Demo'!$C$4="All",K177='Filter Demo'!$C$4),OR('Filter Demo'!$C$5="All",G177='Filter Demo'!$C$5),N177&gt;='Filter Demo'!$C$6),MAX($T$1:T176)+1,"")</f>
        <v/>
      </c>
    </row>
    <row r="178" spans="1:20" x14ac:dyDescent="0.25">
      <c r="A178" t="s">
        <v>642</v>
      </c>
      <c r="B178" s="103">
        <v>45655</v>
      </c>
      <c r="C178" t="s">
        <v>192</v>
      </c>
      <c r="D178" t="s">
        <v>462</v>
      </c>
      <c r="E178" t="s">
        <v>422</v>
      </c>
      <c r="F178" t="s">
        <v>109</v>
      </c>
      <c r="G178" t="s">
        <v>42</v>
      </c>
      <c r="H178">
        <v>5</v>
      </c>
      <c r="I178" s="104">
        <v>149.99</v>
      </c>
      <c r="J178" t="s">
        <v>90</v>
      </c>
      <c r="K178" t="s">
        <v>37</v>
      </c>
      <c r="L178" t="s">
        <v>97</v>
      </c>
      <c r="M178" s="103">
        <v>45347</v>
      </c>
      <c r="N178" s="104">
        <v>749.95</v>
      </c>
      <c r="O178" s="105">
        <f t="shared" si="8"/>
        <v>45657</v>
      </c>
      <c r="P178" s="106">
        <f t="shared" si="9"/>
        <v>0</v>
      </c>
      <c r="Q178" s="106">
        <f>COUNTIF($D$2:D178,D178)</f>
        <v>4</v>
      </c>
      <c r="R178" s="106" t="str">
        <f t="shared" si="10"/>
        <v>Repeat</v>
      </c>
      <c r="S178" s="106" t="str">
        <f t="shared" si="11"/>
        <v>BOO</v>
      </c>
      <c r="T178" s="106" t="str">
        <f>IF(AND(OR('Filter Demo'!$C$4="All",K178='Filter Demo'!$C$4),OR('Filter Demo'!$C$5="All",G178='Filter Demo'!$C$5),N178&gt;='Filter Demo'!$C$6),MAX($T$1:T177)+1,"")</f>
        <v/>
      </c>
    </row>
    <row r="179" spans="1:20" x14ac:dyDescent="0.25">
      <c r="A179" t="s">
        <v>643</v>
      </c>
      <c r="B179" s="103">
        <v>45657</v>
      </c>
      <c r="C179" t="s">
        <v>181</v>
      </c>
      <c r="D179" t="s">
        <v>447</v>
      </c>
      <c r="E179" t="s">
        <v>431</v>
      </c>
      <c r="F179" t="s">
        <v>102</v>
      </c>
      <c r="G179" t="s">
        <v>40</v>
      </c>
      <c r="H179">
        <v>1</v>
      </c>
      <c r="I179" s="104">
        <v>899.99</v>
      </c>
      <c r="J179" t="s">
        <v>93</v>
      </c>
      <c r="K179" t="s">
        <v>41</v>
      </c>
      <c r="L179" t="s">
        <v>97</v>
      </c>
      <c r="M179" s="103">
        <v>45050</v>
      </c>
      <c r="N179" s="104">
        <v>899.99</v>
      </c>
      <c r="O179" s="105">
        <f t="shared" si="8"/>
        <v>45657</v>
      </c>
      <c r="P179" s="106">
        <f t="shared" si="9"/>
        <v>1</v>
      </c>
      <c r="Q179" s="106">
        <f>COUNTIF($D$2:D179,D179)</f>
        <v>10</v>
      </c>
      <c r="R179" s="106" t="str">
        <f t="shared" si="10"/>
        <v>Repeat</v>
      </c>
      <c r="S179" s="106" t="str">
        <f t="shared" si="11"/>
        <v>LAP</v>
      </c>
      <c r="T179" s="106" t="str">
        <f>IF(AND(OR('Filter Demo'!$C$4="All",K179='Filter Demo'!$C$4),OR('Filter Demo'!$C$5="All",G179='Filter Demo'!$C$5),N179&gt;='Filter Demo'!$C$6),MAX($T$1:T178)+1,"")</f>
        <v/>
      </c>
    </row>
    <row r="180" spans="1:20" x14ac:dyDescent="0.25">
      <c r="A180" t="s">
        <v>644</v>
      </c>
      <c r="B180" s="103">
        <v>45660</v>
      </c>
      <c r="C180" t="s">
        <v>175</v>
      </c>
      <c r="D180" t="s">
        <v>489</v>
      </c>
      <c r="E180" t="s">
        <v>468</v>
      </c>
      <c r="F180" t="s">
        <v>111</v>
      </c>
      <c r="G180" t="s">
        <v>40</v>
      </c>
      <c r="H180">
        <v>2</v>
      </c>
      <c r="I180" s="104">
        <v>89.99</v>
      </c>
      <c r="J180" t="s">
        <v>91</v>
      </c>
      <c r="K180" t="s">
        <v>43</v>
      </c>
      <c r="L180" t="s">
        <v>97</v>
      </c>
      <c r="M180" s="103">
        <v>44564</v>
      </c>
      <c r="N180" s="104">
        <v>179.98</v>
      </c>
      <c r="O180" s="105">
        <f t="shared" si="8"/>
        <v>45688</v>
      </c>
      <c r="P180" s="106">
        <f t="shared" si="9"/>
        <v>3</v>
      </c>
      <c r="Q180" s="106">
        <f>COUNTIF($D$2:D180,D180)</f>
        <v>7</v>
      </c>
      <c r="R180" s="106" t="str">
        <f t="shared" si="10"/>
        <v>Repeat</v>
      </c>
      <c r="S180" s="106" t="str">
        <f t="shared" si="11"/>
        <v>KEY</v>
      </c>
      <c r="T180" s="106" t="str">
        <f>IF(AND(OR('Filter Demo'!$C$4="All",K180='Filter Demo'!$C$4),OR('Filter Demo'!$C$5="All",G180='Filter Demo'!$C$5),N180&gt;='Filter Demo'!$C$6),MAX($T$1:T179)+1,"")</f>
        <v/>
      </c>
    </row>
    <row r="181" spans="1:20" x14ac:dyDescent="0.25">
      <c r="A181" t="s">
        <v>645</v>
      </c>
      <c r="B181" s="103">
        <v>45661</v>
      </c>
      <c r="C181" t="s">
        <v>193</v>
      </c>
      <c r="D181" t="s">
        <v>646</v>
      </c>
      <c r="E181" t="s">
        <v>431</v>
      </c>
      <c r="F181" t="s">
        <v>102</v>
      </c>
      <c r="G181" t="s">
        <v>40</v>
      </c>
      <c r="H181">
        <v>1</v>
      </c>
      <c r="I181" s="104">
        <v>899.99</v>
      </c>
      <c r="J181" t="s">
        <v>93</v>
      </c>
      <c r="K181" t="s">
        <v>41</v>
      </c>
      <c r="L181" t="s">
        <v>96</v>
      </c>
      <c r="M181" s="103">
        <v>44752</v>
      </c>
      <c r="N181" s="104">
        <v>899.99</v>
      </c>
      <c r="O181" s="105">
        <f t="shared" si="8"/>
        <v>45688</v>
      </c>
      <c r="P181" s="106">
        <f t="shared" si="9"/>
        <v>2</v>
      </c>
      <c r="Q181" s="106">
        <f>COUNTIF($D$2:D181,D181)</f>
        <v>1</v>
      </c>
      <c r="R181" s="106" t="str">
        <f t="shared" si="10"/>
        <v>Repeat</v>
      </c>
      <c r="S181" s="106" t="str">
        <f t="shared" si="11"/>
        <v>LAP</v>
      </c>
      <c r="T181" s="106" t="str">
        <f>IF(AND(OR('Filter Demo'!$C$4="All",K181='Filter Demo'!$C$4),OR('Filter Demo'!$C$5="All",G181='Filter Demo'!$C$5),N181&gt;='Filter Demo'!$C$6),MAX($T$1:T180)+1,"")</f>
        <v/>
      </c>
    </row>
    <row r="182" spans="1:20" x14ac:dyDescent="0.25">
      <c r="A182" t="s">
        <v>647</v>
      </c>
      <c r="B182" s="103">
        <v>45663</v>
      </c>
      <c r="C182" t="s">
        <v>162</v>
      </c>
      <c r="D182" t="s">
        <v>476</v>
      </c>
      <c r="E182" t="s">
        <v>426</v>
      </c>
      <c r="F182" t="s">
        <v>104</v>
      </c>
      <c r="G182" t="s">
        <v>40</v>
      </c>
      <c r="H182">
        <v>5</v>
      </c>
      <c r="I182" s="104">
        <v>149.99</v>
      </c>
      <c r="J182" t="s">
        <v>93</v>
      </c>
      <c r="K182" t="s">
        <v>39</v>
      </c>
      <c r="L182" t="s">
        <v>97</v>
      </c>
      <c r="M182" s="103">
        <v>44824</v>
      </c>
      <c r="N182" s="104">
        <v>749.95</v>
      </c>
      <c r="O182" s="105">
        <f t="shared" si="8"/>
        <v>45688</v>
      </c>
      <c r="P182" s="106">
        <f t="shared" si="9"/>
        <v>2</v>
      </c>
      <c r="Q182" s="106">
        <f>COUNTIF($D$2:D182,D182)</f>
        <v>4</v>
      </c>
      <c r="R182" s="106" t="str">
        <f t="shared" si="10"/>
        <v>Repeat</v>
      </c>
      <c r="S182" s="106" t="str">
        <f t="shared" si="11"/>
        <v>HEA</v>
      </c>
      <c r="T182" s="106" t="str">
        <f>IF(AND(OR('Filter Demo'!$C$4="All",K182='Filter Demo'!$C$4),OR('Filter Demo'!$C$5="All",G182='Filter Demo'!$C$5),N182&gt;='Filter Demo'!$C$6),MAX($T$1:T181)+1,"")</f>
        <v/>
      </c>
    </row>
    <row r="183" spans="1:20" x14ac:dyDescent="0.25">
      <c r="A183" t="s">
        <v>648</v>
      </c>
      <c r="B183" s="103">
        <v>45663</v>
      </c>
      <c r="C183" t="s">
        <v>159</v>
      </c>
      <c r="D183" t="s">
        <v>421</v>
      </c>
      <c r="E183" t="s">
        <v>460</v>
      </c>
      <c r="F183" t="s">
        <v>108</v>
      </c>
      <c r="G183" t="s">
        <v>42</v>
      </c>
      <c r="H183">
        <v>3</v>
      </c>
      <c r="I183" s="104">
        <v>299.99</v>
      </c>
      <c r="J183" t="s">
        <v>90</v>
      </c>
      <c r="K183" t="s">
        <v>43</v>
      </c>
      <c r="L183" t="s">
        <v>96</v>
      </c>
      <c r="M183" s="103">
        <v>44422</v>
      </c>
      <c r="N183" s="104">
        <v>899.97</v>
      </c>
      <c r="O183" s="105">
        <f t="shared" si="8"/>
        <v>45688</v>
      </c>
      <c r="P183" s="106">
        <f t="shared" si="9"/>
        <v>3</v>
      </c>
      <c r="Q183" s="106">
        <f>COUNTIF($D$2:D183,D183)</f>
        <v>7</v>
      </c>
      <c r="R183" s="106" t="str">
        <f t="shared" si="10"/>
        <v>Repeat</v>
      </c>
      <c r="S183" s="106" t="str">
        <f t="shared" si="11"/>
        <v>DES</v>
      </c>
      <c r="T183" s="106" t="str">
        <f>IF(AND(OR('Filter Demo'!$C$4="All",K183='Filter Demo'!$C$4),OR('Filter Demo'!$C$5="All",G183='Filter Demo'!$C$5),N183&gt;='Filter Demo'!$C$6),MAX($T$1:T182)+1,"")</f>
        <v/>
      </c>
    </row>
    <row r="184" spans="1:20" x14ac:dyDescent="0.25">
      <c r="A184" t="s">
        <v>649</v>
      </c>
      <c r="B184" s="103">
        <v>45666</v>
      </c>
      <c r="C184" t="s">
        <v>182</v>
      </c>
      <c r="D184" t="s">
        <v>433</v>
      </c>
      <c r="E184" t="s">
        <v>443</v>
      </c>
      <c r="F184" t="s">
        <v>103</v>
      </c>
      <c r="G184" t="s">
        <v>40</v>
      </c>
      <c r="H184">
        <v>3</v>
      </c>
      <c r="I184" s="104">
        <v>699.99</v>
      </c>
      <c r="J184" t="s">
        <v>91</v>
      </c>
      <c r="K184" t="s">
        <v>37</v>
      </c>
      <c r="L184" t="s">
        <v>97</v>
      </c>
      <c r="M184" s="103">
        <v>45105</v>
      </c>
      <c r="N184" s="104">
        <v>2099.9699999999998</v>
      </c>
      <c r="O184" s="105">
        <f t="shared" si="8"/>
        <v>45688</v>
      </c>
      <c r="P184" s="106">
        <f t="shared" si="9"/>
        <v>1</v>
      </c>
      <c r="Q184" s="106">
        <f>COUNTIF($D$2:D184,D184)</f>
        <v>6</v>
      </c>
      <c r="R184" s="106" t="str">
        <f t="shared" si="10"/>
        <v>Repeat</v>
      </c>
      <c r="S184" s="106" t="str">
        <f t="shared" si="11"/>
        <v>SMA</v>
      </c>
      <c r="T184" s="106">
        <f>IF(AND(OR('Filter Demo'!$C$4="All",K184='Filter Demo'!$C$4),OR('Filter Demo'!$C$5="All",G184='Filter Demo'!$C$5),N184&gt;='Filter Demo'!$C$6),MAX($T$1:T183)+1,"")</f>
        <v>39</v>
      </c>
    </row>
    <row r="185" spans="1:20" x14ac:dyDescent="0.25">
      <c r="A185" t="s">
        <v>650</v>
      </c>
      <c r="B185" s="103">
        <v>45667</v>
      </c>
      <c r="C185" t="s">
        <v>192</v>
      </c>
      <c r="D185" t="s">
        <v>462</v>
      </c>
      <c r="E185" t="s">
        <v>474</v>
      </c>
      <c r="F185" t="s">
        <v>107</v>
      </c>
      <c r="G185" t="s">
        <v>42</v>
      </c>
      <c r="H185">
        <v>5</v>
      </c>
      <c r="I185" s="104">
        <v>199.99</v>
      </c>
      <c r="J185" t="s">
        <v>93</v>
      </c>
      <c r="K185" t="s">
        <v>37</v>
      </c>
      <c r="L185" t="s">
        <v>96</v>
      </c>
      <c r="M185" s="103">
        <v>44633</v>
      </c>
      <c r="N185" s="104">
        <v>999.95</v>
      </c>
      <c r="O185" s="105">
        <f t="shared" si="8"/>
        <v>45688</v>
      </c>
      <c r="P185" s="106">
        <f t="shared" si="9"/>
        <v>2</v>
      </c>
      <c r="Q185" s="106">
        <f>COUNTIF($D$2:D185,D185)</f>
        <v>5</v>
      </c>
      <c r="R185" s="106" t="str">
        <f t="shared" si="10"/>
        <v>Repeat</v>
      </c>
      <c r="S185" s="106" t="str">
        <f t="shared" si="11"/>
        <v>OC</v>
      </c>
      <c r="T185" s="106" t="str">
        <f>IF(AND(OR('Filter Demo'!$C$4="All",K185='Filter Demo'!$C$4),OR('Filter Demo'!$C$5="All",G185='Filter Demo'!$C$5),N185&gt;='Filter Demo'!$C$6),MAX($T$1:T184)+1,"")</f>
        <v/>
      </c>
    </row>
    <row r="186" spans="1:20" x14ac:dyDescent="0.25">
      <c r="A186" t="s">
        <v>651</v>
      </c>
      <c r="B186" s="103">
        <v>45667</v>
      </c>
      <c r="C186" t="s">
        <v>204</v>
      </c>
      <c r="D186" t="s">
        <v>452</v>
      </c>
      <c r="E186" t="s">
        <v>412</v>
      </c>
      <c r="F186" t="s">
        <v>110</v>
      </c>
      <c r="G186" t="s">
        <v>40</v>
      </c>
      <c r="H186">
        <v>5</v>
      </c>
      <c r="I186" s="104">
        <v>249.99</v>
      </c>
      <c r="J186" t="s">
        <v>91</v>
      </c>
      <c r="K186" t="s">
        <v>43</v>
      </c>
      <c r="L186" t="s">
        <v>95</v>
      </c>
      <c r="M186" s="103">
        <v>45330</v>
      </c>
      <c r="N186" s="104">
        <v>1249.95</v>
      </c>
      <c r="O186" s="105">
        <f t="shared" si="8"/>
        <v>45688</v>
      </c>
      <c r="P186" s="106">
        <f t="shared" si="9"/>
        <v>0</v>
      </c>
      <c r="Q186" s="106">
        <f>COUNTIF($D$2:D186,D186)</f>
        <v>2</v>
      </c>
      <c r="R186" s="106" t="str">
        <f t="shared" si="10"/>
        <v>Repeat</v>
      </c>
      <c r="S186" s="106" t="str">
        <f t="shared" si="11"/>
        <v>MON</v>
      </c>
      <c r="T186" s="106">
        <f>IF(AND(OR('Filter Demo'!$C$4="All",K186='Filter Demo'!$C$4),OR('Filter Demo'!$C$5="All",G186='Filter Demo'!$C$5),N186&gt;='Filter Demo'!$C$6),MAX($T$1:T185)+1,"")</f>
        <v>40</v>
      </c>
    </row>
    <row r="187" spans="1:20" x14ac:dyDescent="0.25">
      <c r="A187" t="s">
        <v>652</v>
      </c>
      <c r="B187" s="103">
        <v>45668</v>
      </c>
      <c r="C187" t="s">
        <v>187</v>
      </c>
      <c r="D187" t="s">
        <v>483</v>
      </c>
      <c r="E187" t="s">
        <v>426</v>
      </c>
      <c r="F187" t="s">
        <v>104</v>
      </c>
      <c r="G187" t="s">
        <v>40</v>
      </c>
      <c r="H187">
        <v>4</v>
      </c>
      <c r="I187" s="104">
        <v>149.99</v>
      </c>
      <c r="J187" t="s">
        <v>92</v>
      </c>
      <c r="K187" t="s">
        <v>39</v>
      </c>
      <c r="L187" t="s">
        <v>96</v>
      </c>
      <c r="M187" s="103">
        <v>44536</v>
      </c>
      <c r="N187" s="104">
        <v>599.96</v>
      </c>
      <c r="O187" s="105">
        <f t="shared" si="8"/>
        <v>45688</v>
      </c>
      <c r="P187" s="106">
        <f t="shared" si="9"/>
        <v>3</v>
      </c>
      <c r="Q187" s="106">
        <f>COUNTIF($D$2:D187,D187)</f>
        <v>4</v>
      </c>
      <c r="R187" s="106" t="str">
        <f t="shared" si="10"/>
        <v>Repeat</v>
      </c>
      <c r="S187" s="106" t="str">
        <f t="shared" si="11"/>
        <v>HEA</v>
      </c>
      <c r="T187" s="106" t="str">
        <f>IF(AND(OR('Filter Demo'!$C$4="All",K187='Filter Demo'!$C$4),OR('Filter Demo'!$C$5="All",G187='Filter Demo'!$C$5),N187&gt;='Filter Demo'!$C$6),MAX($T$1:T186)+1,"")</f>
        <v/>
      </c>
    </row>
    <row r="188" spans="1:20" x14ac:dyDescent="0.25">
      <c r="A188" t="s">
        <v>653</v>
      </c>
      <c r="B188" s="103">
        <v>45668</v>
      </c>
      <c r="C188" t="s">
        <v>194</v>
      </c>
      <c r="D188" t="s">
        <v>442</v>
      </c>
      <c r="E188" t="s">
        <v>443</v>
      </c>
      <c r="F188" t="s">
        <v>103</v>
      </c>
      <c r="G188" t="s">
        <v>40</v>
      </c>
      <c r="H188">
        <v>3</v>
      </c>
      <c r="I188" s="104">
        <v>699.99</v>
      </c>
      <c r="J188" t="s">
        <v>90</v>
      </c>
      <c r="K188" t="s">
        <v>41</v>
      </c>
      <c r="L188" t="s">
        <v>97</v>
      </c>
      <c r="M188" s="103">
        <v>44602</v>
      </c>
      <c r="N188" s="104">
        <v>2099.9699999999998</v>
      </c>
      <c r="O188" s="105">
        <f t="shared" si="8"/>
        <v>45688</v>
      </c>
      <c r="P188" s="106">
        <f t="shared" si="9"/>
        <v>2</v>
      </c>
      <c r="Q188" s="106">
        <f>COUNTIF($D$2:D188,D188)</f>
        <v>2</v>
      </c>
      <c r="R188" s="106" t="str">
        <f t="shared" si="10"/>
        <v>Repeat</v>
      </c>
      <c r="S188" s="106" t="str">
        <f t="shared" si="11"/>
        <v>SMA</v>
      </c>
      <c r="T188" s="106">
        <f>IF(AND(OR('Filter Demo'!$C$4="All",K188='Filter Demo'!$C$4),OR('Filter Demo'!$C$5="All",G188='Filter Demo'!$C$5),N188&gt;='Filter Demo'!$C$6),MAX($T$1:T187)+1,"")</f>
        <v>41</v>
      </c>
    </row>
    <row r="189" spans="1:20" x14ac:dyDescent="0.25">
      <c r="A189" t="s">
        <v>654</v>
      </c>
      <c r="B189" s="103">
        <v>45670</v>
      </c>
      <c r="C189" t="s">
        <v>201</v>
      </c>
      <c r="D189" t="s">
        <v>616</v>
      </c>
      <c r="E189" t="s">
        <v>466</v>
      </c>
      <c r="F189" t="s">
        <v>105</v>
      </c>
      <c r="G189" t="s">
        <v>38</v>
      </c>
      <c r="H189">
        <v>1</v>
      </c>
      <c r="I189" s="104">
        <v>79.989999999999995</v>
      </c>
      <c r="J189" t="s">
        <v>91</v>
      </c>
      <c r="K189" t="s">
        <v>43</v>
      </c>
      <c r="L189" t="s">
        <v>95</v>
      </c>
      <c r="M189" s="103">
        <v>45322</v>
      </c>
      <c r="N189" s="104">
        <v>79.989999999999995</v>
      </c>
      <c r="O189" s="105">
        <f t="shared" si="8"/>
        <v>45688</v>
      </c>
      <c r="P189" s="106">
        <f t="shared" si="9"/>
        <v>0</v>
      </c>
      <c r="Q189" s="106">
        <f>COUNTIF($D$2:D189,D189)</f>
        <v>2</v>
      </c>
      <c r="R189" s="106" t="str">
        <f t="shared" si="10"/>
        <v>Repeat</v>
      </c>
      <c r="S189" s="106" t="str">
        <f t="shared" si="11"/>
        <v>CM</v>
      </c>
      <c r="T189" s="106" t="str">
        <f>IF(AND(OR('Filter Demo'!$C$4="All",K189='Filter Demo'!$C$4),OR('Filter Demo'!$C$5="All",G189='Filter Demo'!$C$5),N189&gt;='Filter Demo'!$C$6),MAX($T$1:T188)+1,"")</f>
        <v/>
      </c>
    </row>
    <row r="190" spans="1:20" x14ac:dyDescent="0.25">
      <c r="A190" t="s">
        <v>655</v>
      </c>
      <c r="B190" s="103">
        <v>45670</v>
      </c>
      <c r="C190" t="s">
        <v>181</v>
      </c>
      <c r="D190" t="s">
        <v>447</v>
      </c>
      <c r="E190" t="s">
        <v>460</v>
      </c>
      <c r="F190" t="s">
        <v>108</v>
      </c>
      <c r="G190" t="s">
        <v>42</v>
      </c>
      <c r="H190">
        <v>1</v>
      </c>
      <c r="I190" s="104">
        <v>299.99</v>
      </c>
      <c r="J190" t="s">
        <v>91</v>
      </c>
      <c r="K190" t="s">
        <v>41</v>
      </c>
      <c r="L190" t="s">
        <v>95</v>
      </c>
      <c r="M190" s="103">
        <v>44436</v>
      </c>
      <c r="N190" s="104">
        <v>299.99</v>
      </c>
      <c r="O190" s="105">
        <f t="shared" si="8"/>
        <v>45688</v>
      </c>
      <c r="P190" s="106">
        <f t="shared" si="9"/>
        <v>3</v>
      </c>
      <c r="Q190" s="106">
        <f>COUNTIF($D$2:D190,D190)</f>
        <v>11</v>
      </c>
      <c r="R190" s="106" t="str">
        <f t="shared" si="10"/>
        <v>Repeat</v>
      </c>
      <c r="S190" s="106" t="str">
        <f t="shared" si="11"/>
        <v>DES</v>
      </c>
      <c r="T190" s="106" t="str">
        <f>IF(AND(OR('Filter Demo'!$C$4="All",K190='Filter Demo'!$C$4),OR('Filter Demo'!$C$5="All",G190='Filter Demo'!$C$5),N190&gt;='Filter Demo'!$C$6),MAX($T$1:T189)+1,"")</f>
        <v/>
      </c>
    </row>
    <row r="191" spans="1:20" x14ac:dyDescent="0.25">
      <c r="A191" t="s">
        <v>656</v>
      </c>
      <c r="B191" s="103">
        <v>45671</v>
      </c>
      <c r="C191" t="s">
        <v>184</v>
      </c>
      <c r="D191" t="s">
        <v>497</v>
      </c>
      <c r="E191" t="s">
        <v>412</v>
      </c>
      <c r="F191" t="s">
        <v>110</v>
      </c>
      <c r="G191" t="s">
        <v>40</v>
      </c>
      <c r="H191">
        <v>4</v>
      </c>
      <c r="I191" s="104">
        <v>249.99</v>
      </c>
      <c r="J191" t="s">
        <v>91</v>
      </c>
      <c r="K191" t="s">
        <v>41</v>
      </c>
      <c r="L191" t="s">
        <v>97</v>
      </c>
      <c r="M191" s="103">
        <v>44460</v>
      </c>
      <c r="N191" s="104">
        <v>999.96</v>
      </c>
      <c r="O191" s="105">
        <f t="shared" si="8"/>
        <v>45688</v>
      </c>
      <c r="P191" s="106">
        <f t="shared" si="9"/>
        <v>3</v>
      </c>
      <c r="Q191" s="106">
        <f>COUNTIF($D$2:D191,D191)</f>
        <v>5</v>
      </c>
      <c r="R191" s="106" t="str">
        <f t="shared" si="10"/>
        <v>Repeat</v>
      </c>
      <c r="S191" s="106" t="str">
        <f t="shared" si="11"/>
        <v>MON</v>
      </c>
      <c r="T191" s="106" t="str">
        <f>IF(AND(OR('Filter Demo'!$C$4="All",K191='Filter Demo'!$C$4),OR('Filter Demo'!$C$5="All",G191='Filter Demo'!$C$5),N191&gt;='Filter Demo'!$C$6),MAX($T$1:T190)+1,"")</f>
        <v/>
      </c>
    </row>
    <row r="192" spans="1:20" x14ac:dyDescent="0.25">
      <c r="A192" t="s">
        <v>657</v>
      </c>
      <c r="B192" s="103">
        <v>45671</v>
      </c>
      <c r="C192" t="s">
        <v>186</v>
      </c>
      <c r="D192" t="s">
        <v>470</v>
      </c>
      <c r="E192" t="s">
        <v>426</v>
      </c>
      <c r="F192" t="s">
        <v>104</v>
      </c>
      <c r="G192" t="s">
        <v>40</v>
      </c>
      <c r="H192">
        <v>2</v>
      </c>
      <c r="I192" s="104">
        <v>149.99</v>
      </c>
      <c r="J192" t="s">
        <v>90</v>
      </c>
      <c r="K192" t="s">
        <v>41</v>
      </c>
      <c r="L192" t="s">
        <v>96</v>
      </c>
      <c r="M192" s="103">
        <v>44913</v>
      </c>
      <c r="N192" s="104">
        <v>299.98</v>
      </c>
      <c r="O192" s="105">
        <f t="shared" si="8"/>
        <v>45688</v>
      </c>
      <c r="P192" s="106">
        <f t="shared" si="9"/>
        <v>2</v>
      </c>
      <c r="Q192" s="106">
        <f>COUNTIF($D$2:D192,D192)</f>
        <v>6</v>
      </c>
      <c r="R192" s="106" t="str">
        <f t="shared" si="10"/>
        <v>Repeat</v>
      </c>
      <c r="S192" s="106" t="str">
        <f t="shared" si="11"/>
        <v>HEA</v>
      </c>
      <c r="T192" s="106" t="str">
        <f>IF(AND(OR('Filter Demo'!$C$4="All",K192='Filter Demo'!$C$4),OR('Filter Demo'!$C$5="All",G192='Filter Demo'!$C$5),N192&gt;='Filter Demo'!$C$6),MAX($T$1:T191)+1,"")</f>
        <v/>
      </c>
    </row>
    <row r="193" spans="1:20" x14ac:dyDescent="0.25">
      <c r="A193" t="s">
        <v>658</v>
      </c>
      <c r="B193" s="103">
        <v>45671</v>
      </c>
      <c r="C193" t="s">
        <v>188</v>
      </c>
      <c r="D193" t="s">
        <v>561</v>
      </c>
      <c r="E193" t="s">
        <v>460</v>
      </c>
      <c r="F193" t="s">
        <v>108</v>
      </c>
      <c r="G193" t="s">
        <v>42</v>
      </c>
      <c r="H193">
        <v>3</v>
      </c>
      <c r="I193" s="104">
        <v>299.99</v>
      </c>
      <c r="J193" t="s">
        <v>91</v>
      </c>
      <c r="K193" t="s">
        <v>43</v>
      </c>
      <c r="L193" t="s">
        <v>95</v>
      </c>
      <c r="M193" s="103">
        <v>45204</v>
      </c>
      <c r="N193" s="104">
        <v>899.97</v>
      </c>
      <c r="O193" s="105">
        <f t="shared" si="8"/>
        <v>45688</v>
      </c>
      <c r="P193" s="106">
        <f t="shared" si="9"/>
        <v>1</v>
      </c>
      <c r="Q193" s="106">
        <f>COUNTIF($D$2:D193,D193)</f>
        <v>5</v>
      </c>
      <c r="R193" s="106" t="str">
        <f t="shared" si="10"/>
        <v>Repeat</v>
      </c>
      <c r="S193" s="106" t="str">
        <f t="shared" si="11"/>
        <v>DES</v>
      </c>
      <c r="T193" s="106" t="str">
        <f>IF(AND(OR('Filter Demo'!$C$4="All",K193='Filter Demo'!$C$4),OR('Filter Demo'!$C$5="All",G193='Filter Demo'!$C$5),N193&gt;='Filter Demo'!$C$6),MAX($T$1:T192)+1,"")</f>
        <v/>
      </c>
    </row>
    <row r="194" spans="1:20" x14ac:dyDescent="0.25">
      <c r="A194" t="s">
        <v>659</v>
      </c>
      <c r="B194" s="103">
        <v>45673</v>
      </c>
      <c r="C194" t="s">
        <v>195</v>
      </c>
      <c r="D194" t="s">
        <v>555</v>
      </c>
      <c r="E194" t="s">
        <v>474</v>
      </c>
      <c r="F194" t="s">
        <v>107</v>
      </c>
      <c r="G194" t="s">
        <v>42</v>
      </c>
      <c r="H194">
        <v>4</v>
      </c>
      <c r="I194" s="104">
        <v>199.99</v>
      </c>
      <c r="J194" t="s">
        <v>92</v>
      </c>
      <c r="K194" t="s">
        <v>43</v>
      </c>
      <c r="L194" t="s">
        <v>96</v>
      </c>
      <c r="M194" s="103">
        <v>44544</v>
      </c>
      <c r="N194" s="104">
        <v>799.96</v>
      </c>
      <c r="O194" s="105">
        <f t="shared" ref="O194:O251" si="12">EOMONTH(B194,0)</f>
        <v>45688</v>
      </c>
      <c r="P194" s="106">
        <f t="shared" ref="P194:P251" si="13">DATEDIF(M194,B194,"Y")</f>
        <v>3</v>
      </c>
      <c r="Q194" s="106">
        <f>COUNTIF($D$2:D194,D194)</f>
        <v>5</v>
      </c>
      <c r="R194" s="106" t="str">
        <f t="shared" ref="R194:R251" si="14">IF(COUNTIF($D$2:$D$251,D194)&gt;1,"Repeat","Single")</f>
        <v>Repeat</v>
      </c>
      <c r="S194" s="106" t="str">
        <f t="shared" ref="S194:S251" si="15">IF(ISNUMBER(FIND(" ",F194)),UPPER(LEFT(F194,1)&amp;MID(F194,FIND(" ",F194)+1,1)),UPPER(LEFT(F194,3)))</f>
        <v>OC</v>
      </c>
      <c r="T194" s="106" t="str">
        <f>IF(AND(OR('Filter Demo'!$C$4="All",K194='Filter Demo'!$C$4),OR('Filter Demo'!$C$5="All",G194='Filter Demo'!$C$5),N194&gt;='Filter Demo'!$C$6),MAX($T$1:T193)+1,"")</f>
        <v/>
      </c>
    </row>
    <row r="195" spans="1:20" x14ac:dyDescent="0.25">
      <c r="A195" t="s">
        <v>660</v>
      </c>
      <c r="B195" s="103">
        <v>45673</v>
      </c>
      <c r="C195" t="s">
        <v>172</v>
      </c>
      <c r="D195" t="s">
        <v>542</v>
      </c>
      <c r="E195" t="s">
        <v>460</v>
      </c>
      <c r="F195" t="s">
        <v>108</v>
      </c>
      <c r="G195" t="s">
        <v>42</v>
      </c>
      <c r="H195">
        <v>5</v>
      </c>
      <c r="I195" s="104">
        <v>299.99</v>
      </c>
      <c r="J195" t="s">
        <v>92</v>
      </c>
      <c r="K195" t="s">
        <v>37</v>
      </c>
      <c r="L195" t="s">
        <v>95</v>
      </c>
      <c r="M195" s="103">
        <v>44431</v>
      </c>
      <c r="N195" s="104">
        <v>1499.95</v>
      </c>
      <c r="O195" s="105">
        <f t="shared" si="12"/>
        <v>45688</v>
      </c>
      <c r="P195" s="106">
        <f t="shared" si="13"/>
        <v>3</v>
      </c>
      <c r="Q195" s="106">
        <f>COUNTIF($D$2:D195,D195)</f>
        <v>3</v>
      </c>
      <c r="R195" s="106" t="str">
        <f t="shared" si="14"/>
        <v>Repeat</v>
      </c>
      <c r="S195" s="106" t="str">
        <f t="shared" si="15"/>
        <v>DES</v>
      </c>
      <c r="T195" s="106" t="str">
        <f>IF(AND(OR('Filter Demo'!$C$4="All",K195='Filter Demo'!$C$4),OR('Filter Demo'!$C$5="All",G195='Filter Demo'!$C$5),N195&gt;='Filter Demo'!$C$6),MAX($T$1:T194)+1,"")</f>
        <v/>
      </c>
    </row>
    <row r="196" spans="1:20" x14ac:dyDescent="0.25">
      <c r="A196" t="s">
        <v>661</v>
      </c>
      <c r="B196" s="103">
        <v>45673</v>
      </c>
      <c r="C196" t="s">
        <v>165</v>
      </c>
      <c r="D196" t="s">
        <v>430</v>
      </c>
      <c r="E196" t="s">
        <v>422</v>
      </c>
      <c r="F196" t="s">
        <v>109</v>
      </c>
      <c r="G196" t="s">
        <v>42</v>
      </c>
      <c r="H196">
        <v>3</v>
      </c>
      <c r="I196" s="104">
        <v>149.99</v>
      </c>
      <c r="J196" t="s">
        <v>91</v>
      </c>
      <c r="K196" t="s">
        <v>39</v>
      </c>
      <c r="L196" t="s">
        <v>96</v>
      </c>
      <c r="M196" s="103">
        <v>44395</v>
      </c>
      <c r="N196" s="104">
        <v>449.97</v>
      </c>
      <c r="O196" s="105">
        <f t="shared" si="12"/>
        <v>45688</v>
      </c>
      <c r="P196" s="106">
        <f t="shared" si="13"/>
        <v>3</v>
      </c>
      <c r="Q196" s="106">
        <f>COUNTIF($D$2:D196,D196)</f>
        <v>4</v>
      </c>
      <c r="R196" s="106" t="str">
        <f t="shared" si="14"/>
        <v>Repeat</v>
      </c>
      <c r="S196" s="106" t="str">
        <f t="shared" si="15"/>
        <v>BOO</v>
      </c>
      <c r="T196" s="106" t="str">
        <f>IF(AND(OR('Filter Demo'!$C$4="All",K196='Filter Demo'!$C$4),OR('Filter Demo'!$C$5="All",G196='Filter Demo'!$C$5),N196&gt;='Filter Demo'!$C$6),MAX($T$1:T195)+1,"")</f>
        <v/>
      </c>
    </row>
    <row r="197" spans="1:20" x14ac:dyDescent="0.25">
      <c r="A197" t="s">
        <v>662</v>
      </c>
      <c r="B197" s="103">
        <v>45676</v>
      </c>
      <c r="C197" t="s">
        <v>162</v>
      </c>
      <c r="D197" t="s">
        <v>476</v>
      </c>
      <c r="E197" t="s">
        <v>417</v>
      </c>
      <c r="F197" t="s">
        <v>106</v>
      </c>
      <c r="G197" t="s">
        <v>38</v>
      </c>
      <c r="H197">
        <v>5</v>
      </c>
      <c r="I197" s="104">
        <v>59.99</v>
      </c>
      <c r="J197" t="s">
        <v>92</v>
      </c>
      <c r="K197" t="s">
        <v>39</v>
      </c>
      <c r="L197" t="s">
        <v>95</v>
      </c>
      <c r="M197" s="103">
        <v>44642</v>
      </c>
      <c r="N197" s="104">
        <v>299.95</v>
      </c>
      <c r="O197" s="105">
        <f t="shared" si="12"/>
        <v>45688</v>
      </c>
      <c r="P197" s="106">
        <f t="shared" si="13"/>
        <v>2</v>
      </c>
      <c r="Q197" s="106">
        <f>COUNTIF($D$2:D197,D197)</f>
        <v>5</v>
      </c>
      <c r="R197" s="106" t="str">
        <f t="shared" si="14"/>
        <v>Repeat</v>
      </c>
      <c r="S197" s="106" t="str">
        <f t="shared" si="15"/>
        <v>BLE</v>
      </c>
      <c r="T197" s="106" t="str">
        <f>IF(AND(OR('Filter Demo'!$C$4="All",K197='Filter Demo'!$C$4),OR('Filter Demo'!$C$5="All",G197='Filter Demo'!$C$5),N197&gt;='Filter Demo'!$C$6),MAX($T$1:T196)+1,"")</f>
        <v/>
      </c>
    </row>
    <row r="198" spans="1:20" x14ac:dyDescent="0.25">
      <c r="A198" t="s">
        <v>663</v>
      </c>
      <c r="B198" s="103">
        <v>45682</v>
      </c>
      <c r="C198" t="s">
        <v>178</v>
      </c>
      <c r="D198" t="s">
        <v>435</v>
      </c>
      <c r="E198" t="s">
        <v>417</v>
      </c>
      <c r="F198" t="s">
        <v>106</v>
      </c>
      <c r="G198" t="s">
        <v>38</v>
      </c>
      <c r="H198">
        <v>4</v>
      </c>
      <c r="I198" s="104">
        <v>59.99</v>
      </c>
      <c r="J198" t="s">
        <v>92</v>
      </c>
      <c r="K198" t="s">
        <v>39</v>
      </c>
      <c r="L198" t="s">
        <v>96</v>
      </c>
      <c r="M198" s="103">
        <v>44564</v>
      </c>
      <c r="N198" s="104">
        <v>239.96</v>
      </c>
      <c r="O198" s="105">
        <f t="shared" si="12"/>
        <v>45688</v>
      </c>
      <c r="P198" s="106">
        <f t="shared" si="13"/>
        <v>3</v>
      </c>
      <c r="Q198" s="106">
        <f>COUNTIF($D$2:D198,D198)</f>
        <v>4</v>
      </c>
      <c r="R198" s="106" t="str">
        <f t="shared" si="14"/>
        <v>Repeat</v>
      </c>
      <c r="S198" s="106" t="str">
        <f t="shared" si="15"/>
        <v>BLE</v>
      </c>
      <c r="T198" s="106" t="str">
        <f>IF(AND(OR('Filter Demo'!$C$4="All",K198='Filter Demo'!$C$4),OR('Filter Demo'!$C$5="All",G198='Filter Demo'!$C$5),N198&gt;='Filter Demo'!$C$6),MAX($T$1:T197)+1,"")</f>
        <v/>
      </c>
    </row>
    <row r="199" spans="1:20" x14ac:dyDescent="0.25">
      <c r="A199" t="s">
        <v>664</v>
      </c>
      <c r="B199" s="103">
        <v>45683</v>
      </c>
      <c r="C199" t="s">
        <v>180</v>
      </c>
      <c r="D199" t="s">
        <v>424</v>
      </c>
      <c r="E199" t="s">
        <v>412</v>
      </c>
      <c r="F199" t="s">
        <v>110</v>
      </c>
      <c r="G199" t="s">
        <v>40</v>
      </c>
      <c r="H199">
        <v>4</v>
      </c>
      <c r="I199" s="104">
        <v>249.99</v>
      </c>
      <c r="J199" t="s">
        <v>92</v>
      </c>
      <c r="K199" t="s">
        <v>37</v>
      </c>
      <c r="L199" t="s">
        <v>97</v>
      </c>
      <c r="M199" s="103">
        <v>45217</v>
      </c>
      <c r="N199" s="104">
        <v>999.96</v>
      </c>
      <c r="O199" s="105">
        <f t="shared" si="12"/>
        <v>45688</v>
      </c>
      <c r="P199" s="106">
        <f t="shared" si="13"/>
        <v>1</v>
      </c>
      <c r="Q199" s="106">
        <f>COUNTIF($D$2:D199,D199)</f>
        <v>5</v>
      </c>
      <c r="R199" s="106" t="str">
        <f t="shared" si="14"/>
        <v>Repeat</v>
      </c>
      <c r="S199" s="106" t="str">
        <f t="shared" si="15"/>
        <v>MON</v>
      </c>
      <c r="T199" s="106" t="str">
        <f>IF(AND(OR('Filter Demo'!$C$4="All",K199='Filter Demo'!$C$4),OR('Filter Demo'!$C$5="All",G199='Filter Demo'!$C$5),N199&gt;='Filter Demo'!$C$6),MAX($T$1:T198)+1,"")</f>
        <v/>
      </c>
    </row>
    <row r="200" spans="1:20" x14ac:dyDescent="0.25">
      <c r="A200" t="s">
        <v>665</v>
      </c>
      <c r="B200" s="103">
        <v>45686</v>
      </c>
      <c r="C200" t="s">
        <v>167</v>
      </c>
      <c r="D200" t="s">
        <v>577</v>
      </c>
      <c r="E200" t="s">
        <v>431</v>
      </c>
      <c r="F200" t="s">
        <v>102</v>
      </c>
      <c r="G200" t="s">
        <v>40</v>
      </c>
      <c r="H200">
        <v>4</v>
      </c>
      <c r="I200" s="104">
        <v>899.99</v>
      </c>
      <c r="J200" t="s">
        <v>93</v>
      </c>
      <c r="K200" t="s">
        <v>37</v>
      </c>
      <c r="L200" t="s">
        <v>95</v>
      </c>
      <c r="M200" s="103">
        <v>44734</v>
      </c>
      <c r="N200" s="104">
        <v>3599.96</v>
      </c>
      <c r="O200" s="105">
        <f t="shared" si="12"/>
        <v>45688</v>
      </c>
      <c r="P200" s="106">
        <f t="shared" si="13"/>
        <v>2</v>
      </c>
      <c r="Q200" s="106">
        <f>COUNTIF($D$2:D200,D200)</f>
        <v>3</v>
      </c>
      <c r="R200" s="106" t="str">
        <f t="shared" si="14"/>
        <v>Repeat</v>
      </c>
      <c r="S200" s="106" t="str">
        <f t="shared" si="15"/>
        <v>LAP</v>
      </c>
      <c r="T200" s="106">
        <f>IF(AND(OR('Filter Demo'!$C$4="All",K200='Filter Demo'!$C$4),OR('Filter Demo'!$C$5="All",G200='Filter Demo'!$C$5),N200&gt;='Filter Demo'!$C$6),MAX($T$1:T199)+1,"")</f>
        <v>42</v>
      </c>
    </row>
    <row r="201" spans="1:20" x14ac:dyDescent="0.25">
      <c r="A201" t="s">
        <v>666</v>
      </c>
      <c r="B201" s="103">
        <v>45686</v>
      </c>
      <c r="C201" t="s">
        <v>181</v>
      </c>
      <c r="D201" t="s">
        <v>447</v>
      </c>
      <c r="E201" t="s">
        <v>460</v>
      </c>
      <c r="F201" t="s">
        <v>108</v>
      </c>
      <c r="G201" t="s">
        <v>42</v>
      </c>
      <c r="H201">
        <v>3</v>
      </c>
      <c r="I201" s="104">
        <v>299.99</v>
      </c>
      <c r="J201" t="s">
        <v>92</v>
      </c>
      <c r="K201" t="s">
        <v>44</v>
      </c>
      <c r="L201" t="s">
        <v>96</v>
      </c>
      <c r="M201" s="103">
        <v>44952</v>
      </c>
      <c r="N201" s="104">
        <v>899.97</v>
      </c>
      <c r="O201" s="105">
        <f t="shared" si="12"/>
        <v>45688</v>
      </c>
      <c r="P201" s="106">
        <f t="shared" si="13"/>
        <v>2</v>
      </c>
      <c r="Q201" s="106">
        <f>COUNTIF($D$2:D201,D201)</f>
        <v>12</v>
      </c>
      <c r="R201" s="106" t="str">
        <f t="shared" si="14"/>
        <v>Repeat</v>
      </c>
      <c r="S201" s="106" t="str">
        <f t="shared" si="15"/>
        <v>DES</v>
      </c>
      <c r="T201" s="106" t="str">
        <f>IF(AND(OR('Filter Demo'!$C$4="All",K201='Filter Demo'!$C$4),OR('Filter Demo'!$C$5="All",G201='Filter Demo'!$C$5),N201&gt;='Filter Demo'!$C$6),MAX($T$1:T200)+1,"")</f>
        <v/>
      </c>
    </row>
    <row r="202" spans="1:20" x14ac:dyDescent="0.25">
      <c r="A202" t="s">
        <v>667</v>
      </c>
      <c r="B202" s="103">
        <v>45686</v>
      </c>
      <c r="C202" t="s">
        <v>201</v>
      </c>
      <c r="D202" t="s">
        <v>616</v>
      </c>
      <c r="E202" t="s">
        <v>443</v>
      </c>
      <c r="F202" t="s">
        <v>103</v>
      </c>
      <c r="G202" t="s">
        <v>40</v>
      </c>
      <c r="H202">
        <v>2</v>
      </c>
      <c r="I202" s="104">
        <v>699.99</v>
      </c>
      <c r="J202" t="s">
        <v>92</v>
      </c>
      <c r="K202" t="s">
        <v>37</v>
      </c>
      <c r="L202" t="s">
        <v>97</v>
      </c>
      <c r="M202" s="103">
        <v>44681</v>
      </c>
      <c r="N202" s="104">
        <v>1399.98</v>
      </c>
      <c r="O202" s="105">
        <f t="shared" si="12"/>
        <v>45688</v>
      </c>
      <c r="P202" s="106">
        <f t="shared" si="13"/>
        <v>2</v>
      </c>
      <c r="Q202" s="106">
        <f>COUNTIF($D$2:D202,D202)</f>
        <v>3</v>
      </c>
      <c r="R202" s="106" t="str">
        <f t="shared" si="14"/>
        <v>Repeat</v>
      </c>
      <c r="S202" s="106" t="str">
        <f t="shared" si="15"/>
        <v>SMA</v>
      </c>
      <c r="T202" s="106">
        <f>IF(AND(OR('Filter Demo'!$C$4="All",K202='Filter Demo'!$C$4),OR('Filter Demo'!$C$5="All",G202='Filter Demo'!$C$5),N202&gt;='Filter Demo'!$C$6),MAX($T$1:T201)+1,"")</f>
        <v>43</v>
      </c>
    </row>
    <row r="203" spans="1:20" x14ac:dyDescent="0.25">
      <c r="A203" t="s">
        <v>668</v>
      </c>
      <c r="B203" s="103">
        <v>45688</v>
      </c>
      <c r="C203" t="s">
        <v>182</v>
      </c>
      <c r="D203" t="s">
        <v>433</v>
      </c>
      <c r="E203" t="s">
        <v>443</v>
      </c>
      <c r="F203" t="s">
        <v>103</v>
      </c>
      <c r="G203" t="s">
        <v>40</v>
      </c>
      <c r="H203">
        <v>4</v>
      </c>
      <c r="I203" s="104">
        <v>699.99</v>
      </c>
      <c r="J203" t="s">
        <v>92</v>
      </c>
      <c r="K203" t="s">
        <v>44</v>
      </c>
      <c r="L203" t="s">
        <v>97</v>
      </c>
      <c r="M203" s="103">
        <v>44692</v>
      </c>
      <c r="N203" s="104">
        <v>2799.96</v>
      </c>
      <c r="O203" s="105">
        <f t="shared" si="12"/>
        <v>45688</v>
      </c>
      <c r="P203" s="106">
        <f t="shared" si="13"/>
        <v>2</v>
      </c>
      <c r="Q203" s="106">
        <f>COUNTIF($D$2:D203,D203)</f>
        <v>7</v>
      </c>
      <c r="R203" s="106" t="str">
        <f t="shared" si="14"/>
        <v>Repeat</v>
      </c>
      <c r="S203" s="106" t="str">
        <f t="shared" si="15"/>
        <v>SMA</v>
      </c>
      <c r="T203" s="106">
        <f>IF(AND(OR('Filter Demo'!$C$4="All",K203='Filter Demo'!$C$4),OR('Filter Demo'!$C$5="All",G203='Filter Demo'!$C$5),N203&gt;='Filter Demo'!$C$6),MAX($T$1:T202)+1,"")</f>
        <v>44</v>
      </c>
    </row>
    <row r="204" spans="1:20" x14ac:dyDescent="0.25">
      <c r="A204" t="s">
        <v>669</v>
      </c>
      <c r="B204" s="103">
        <v>45688</v>
      </c>
      <c r="C204" t="s">
        <v>185</v>
      </c>
      <c r="D204" t="s">
        <v>472</v>
      </c>
      <c r="E204" t="s">
        <v>468</v>
      </c>
      <c r="F204" t="s">
        <v>111</v>
      </c>
      <c r="G204" t="s">
        <v>40</v>
      </c>
      <c r="H204">
        <v>2</v>
      </c>
      <c r="I204" s="104">
        <v>89.99</v>
      </c>
      <c r="J204" t="s">
        <v>92</v>
      </c>
      <c r="K204" t="s">
        <v>43</v>
      </c>
      <c r="L204" t="s">
        <v>95</v>
      </c>
      <c r="M204" s="103">
        <v>44777</v>
      </c>
      <c r="N204" s="104">
        <v>179.98</v>
      </c>
      <c r="O204" s="105">
        <f t="shared" si="12"/>
        <v>45688</v>
      </c>
      <c r="P204" s="106">
        <f t="shared" si="13"/>
        <v>2</v>
      </c>
      <c r="Q204" s="106">
        <f>COUNTIF($D$2:D204,D204)</f>
        <v>4</v>
      </c>
      <c r="R204" s="106" t="str">
        <f t="shared" si="14"/>
        <v>Repeat</v>
      </c>
      <c r="S204" s="106" t="str">
        <f t="shared" si="15"/>
        <v>KEY</v>
      </c>
      <c r="T204" s="106" t="str">
        <f>IF(AND(OR('Filter Demo'!$C$4="All",K204='Filter Demo'!$C$4),OR('Filter Demo'!$C$5="All",G204='Filter Demo'!$C$5),N204&gt;='Filter Demo'!$C$6),MAX($T$1:T203)+1,"")</f>
        <v/>
      </c>
    </row>
    <row r="205" spans="1:20" x14ac:dyDescent="0.25">
      <c r="A205" t="s">
        <v>670</v>
      </c>
      <c r="B205" s="103">
        <v>45688</v>
      </c>
      <c r="C205" t="s">
        <v>159</v>
      </c>
      <c r="D205" t="s">
        <v>421</v>
      </c>
      <c r="E205" t="s">
        <v>468</v>
      </c>
      <c r="F205" t="s">
        <v>111</v>
      </c>
      <c r="G205" t="s">
        <v>40</v>
      </c>
      <c r="H205">
        <v>3</v>
      </c>
      <c r="I205" s="104">
        <v>89.99</v>
      </c>
      <c r="J205" t="s">
        <v>92</v>
      </c>
      <c r="K205" t="s">
        <v>43</v>
      </c>
      <c r="L205" t="s">
        <v>97</v>
      </c>
      <c r="M205" s="103">
        <v>45307</v>
      </c>
      <c r="N205" s="104">
        <v>269.97000000000003</v>
      </c>
      <c r="O205" s="105">
        <f t="shared" si="12"/>
        <v>45688</v>
      </c>
      <c r="P205" s="106">
        <f t="shared" si="13"/>
        <v>1</v>
      </c>
      <c r="Q205" s="106">
        <f>COUNTIF($D$2:D205,D205)</f>
        <v>8</v>
      </c>
      <c r="R205" s="106" t="str">
        <f t="shared" si="14"/>
        <v>Repeat</v>
      </c>
      <c r="S205" s="106" t="str">
        <f t="shared" si="15"/>
        <v>KEY</v>
      </c>
      <c r="T205" s="106" t="str">
        <f>IF(AND(OR('Filter Demo'!$C$4="All",K205='Filter Demo'!$C$4),OR('Filter Demo'!$C$5="All",G205='Filter Demo'!$C$5),N205&gt;='Filter Demo'!$C$6),MAX($T$1:T204)+1,"")</f>
        <v/>
      </c>
    </row>
    <row r="206" spans="1:20" x14ac:dyDescent="0.25">
      <c r="A206" t="s">
        <v>671</v>
      </c>
      <c r="B206" s="103">
        <v>45692</v>
      </c>
      <c r="C206" t="s">
        <v>193</v>
      </c>
      <c r="D206" t="s">
        <v>646</v>
      </c>
      <c r="E206" t="s">
        <v>417</v>
      </c>
      <c r="F206" t="s">
        <v>106</v>
      </c>
      <c r="G206" t="s">
        <v>38</v>
      </c>
      <c r="H206">
        <v>1</v>
      </c>
      <c r="I206" s="104">
        <v>59.99</v>
      </c>
      <c r="J206" t="s">
        <v>92</v>
      </c>
      <c r="K206" t="s">
        <v>37</v>
      </c>
      <c r="L206" t="s">
        <v>96</v>
      </c>
      <c r="M206" s="103">
        <v>45045</v>
      </c>
      <c r="N206" s="104">
        <v>59.99</v>
      </c>
      <c r="O206" s="105">
        <f t="shared" si="12"/>
        <v>45716</v>
      </c>
      <c r="P206" s="106">
        <f t="shared" si="13"/>
        <v>1</v>
      </c>
      <c r="Q206" s="106">
        <f>COUNTIF($D$2:D206,D206)</f>
        <v>2</v>
      </c>
      <c r="R206" s="106" t="str">
        <f t="shared" si="14"/>
        <v>Repeat</v>
      </c>
      <c r="S206" s="106" t="str">
        <f t="shared" si="15"/>
        <v>BLE</v>
      </c>
      <c r="T206" s="106" t="str">
        <f>IF(AND(OR('Filter Demo'!$C$4="All",K206='Filter Demo'!$C$4),OR('Filter Demo'!$C$5="All",G206='Filter Demo'!$C$5),N206&gt;='Filter Demo'!$C$6),MAX($T$1:T205)+1,"")</f>
        <v/>
      </c>
    </row>
    <row r="207" spans="1:20" x14ac:dyDescent="0.25">
      <c r="A207" t="s">
        <v>672</v>
      </c>
      <c r="B207" s="103">
        <v>45695</v>
      </c>
      <c r="C207" t="s">
        <v>198</v>
      </c>
      <c r="D207" t="s">
        <v>572</v>
      </c>
      <c r="E207" t="s">
        <v>422</v>
      </c>
      <c r="F207" t="s">
        <v>109</v>
      </c>
      <c r="G207" t="s">
        <v>42</v>
      </c>
      <c r="H207">
        <v>3</v>
      </c>
      <c r="I207" s="104">
        <v>149.99</v>
      </c>
      <c r="J207" t="s">
        <v>92</v>
      </c>
      <c r="K207" t="s">
        <v>41</v>
      </c>
      <c r="L207" t="s">
        <v>97</v>
      </c>
      <c r="M207" s="103">
        <v>44564</v>
      </c>
      <c r="N207" s="104">
        <v>449.97</v>
      </c>
      <c r="O207" s="105">
        <f t="shared" si="12"/>
        <v>45716</v>
      </c>
      <c r="P207" s="106">
        <f t="shared" si="13"/>
        <v>3</v>
      </c>
      <c r="Q207" s="106">
        <f>COUNTIF($D$2:D207,D207)</f>
        <v>2</v>
      </c>
      <c r="R207" s="106" t="str">
        <f t="shared" si="14"/>
        <v>Repeat</v>
      </c>
      <c r="S207" s="106" t="str">
        <f t="shared" si="15"/>
        <v>BOO</v>
      </c>
      <c r="T207" s="106" t="str">
        <f>IF(AND(OR('Filter Demo'!$C$4="All",K207='Filter Demo'!$C$4),OR('Filter Demo'!$C$5="All",G207='Filter Demo'!$C$5),N207&gt;='Filter Demo'!$C$6),MAX($T$1:T206)+1,"")</f>
        <v/>
      </c>
    </row>
    <row r="208" spans="1:20" x14ac:dyDescent="0.25">
      <c r="A208" t="s">
        <v>673</v>
      </c>
      <c r="B208" s="103">
        <v>45695</v>
      </c>
      <c r="C208" t="s">
        <v>204</v>
      </c>
      <c r="D208" t="s">
        <v>452</v>
      </c>
      <c r="E208" t="s">
        <v>460</v>
      </c>
      <c r="F208" t="s">
        <v>108</v>
      </c>
      <c r="G208" t="s">
        <v>42</v>
      </c>
      <c r="H208">
        <v>5</v>
      </c>
      <c r="I208" s="104">
        <v>299.99</v>
      </c>
      <c r="J208" t="s">
        <v>91</v>
      </c>
      <c r="K208" t="s">
        <v>43</v>
      </c>
      <c r="L208" t="s">
        <v>95</v>
      </c>
      <c r="M208" s="103">
        <v>44959</v>
      </c>
      <c r="N208" s="104">
        <v>1499.95</v>
      </c>
      <c r="O208" s="105">
        <f t="shared" si="12"/>
        <v>45716</v>
      </c>
      <c r="P208" s="106">
        <f t="shared" si="13"/>
        <v>2</v>
      </c>
      <c r="Q208" s="106">
        <f>COUNTIF($D$2:D208,D208)</f>
        <v>3</v>
      </c>
      <c r="R208" s="106" t="str">
        <f t="shared" si="14"/>
        <v>Repeat</v>
      </c>
      <c r="S208" s="106" t="str">
        <f t="shared" si="15"/>
        <v>DES</v>
      </c>
      <c r="T208" s="106" t="str">
        <f>IF(AND(OR('Filter Demo'!$C$4="All",K208='Filter Demo'!$C$4),OR('Filter Demo'!$C$5="All",G208='Filter Demo'!$C$5),N208&gt;='Filter Demo'!$C$6),MAX($T$1:T207)+1,"")</f>
        <v/>
      </c>
    </row>
    <row r="209" spans="1:20" x14ac:dyDescent="0.25">
      <c r="A209" t="s">
        <v>674</v>
      </c>
      <c r="B209" s="103">
        <v>45696</v>
      </c>
      <c r="C209" t="s">
        <v>196</v>
      </c>
      <c r="D209" t="s">
        <v>491</v>
      </c>
      <c r="E209" t="s">
        <v>417</v>
      </c>
      <c r="F209" t="s">
        <v>106</v>
      </c>
      <c r="G209" t="s">
        <v>38</v>
      </c>
      <c r="H209">
        <v>5</v>
      </c>
      <c r="I209" s="104">
        <v>59.99</v>
      </c>
      <c r="J209" t="s">
        <v>92</v>
      </c>
      <c r="K209" t="s">
        <v>37</v>
      </c>
      <c r="L209" t="s">
        <v>96</v>
      </c>
      <c r="M209" s="103">
        <v>45177</v>
      </c>
      <c r="N209" s="104">
        <v>299.95</v>
      </c>
      <c r="O209" s="105">
        <f t="shared" si="12"/>
        <v>45716</v>
      </c>
      <c r="P209" s="106">
        <f t="shared" si="13"/>
        <v>1</v>
      </c>
      <c r="Q209" s="106">
        <f>COUNTIF($D$2:D209,D209)</f>
        <v>4</v>
      </c>
      <c r="R209" s="106" t="str">
        <f t="shared" si="14"/>
        <v>Repeat</v>
      </c>
      <c r="S209" s="106" t="str">
        <f t="shared" si="15"/>
        <v>BLE</v>
      </c>
      <c r="T209" s="106" t="str">
        <f>IF(AND(OR('Filter Demo'!$C$4="All",K209='Filter Demo'!$C$4),OR('Filter Demo'!$C$5="All",G209='Filter Demo'!$C$5),N209&gt;='Filter Demo'!$C$6),MAX($T$1:T208)+1,"")</f>
        <v/>
      </c>
    </row>
    <row r="210" spans="1:20" x14ac:dyDescent="0.25">
      <c r="A210" t="s">
        <v>675</v>
      </c>
      <c r="B210" s="103">
        <v>45701</v>
      </c>
      <c r="C210" t="s">
        <v>192</v>
      </c>
      <c r="D210" t="s">
        <v>462</v>
      </c>
      <c r="E210" t="s">
        <v>466</v>
      </c>
      <c r="F210" t="s">
        <v>105</v>
      </c>
      <c r="G210" t="s">
        <v>38</v>
      </c>
      <c r="H210">
        <v>3</v>
      </c>
      <c r="I210" s="104">
        <v>79.989999999999995</v>
      </c>
      <c r="J210" t="s">
        <v>90</v>
      </c>
      <c r="K210" t="s">
        <v>39</v>
      </c>
      <c r="L210" t="s">
        <v>97</v>
      </c>
      <c r="M210" s="103">
        <v>44436</v>
      </c>
      <c r="N210" s="104">
        <v>239.97</v>
      </c>
      <c r="O210" s="105">
        <f t="shared" si="12"/>
        <v>45716</v>
      </c>
      <c r="P210" s="106">
        <f t="shared" si="13"/>
        <v>3</v>
      </c>
      <c r="Q210" s="106">
        <f>COUNTIF($D$2:D210,D210)</f>
        <v>6</v>
      </c>
      <c r="R210" s="106" t="str">
        <f t="shared" si="14"/>
        <v>Repeat</v>
      </c>
      <c r="S210" s="106" t="str">
        <f t="shared" si="15"/>
        <v>CM</v>
      </c>
      <c r="T210" s="106" t="str">
        <f>IF(AND(OR('Filter Demo'!$C$4="All",K210='Filter Demo'!$C$4),OR('Filter Demo'!$C$5="All",G210='Filter Demo'!$C$5),N210&gt;='Filter Demo'!$C$6),MAX($T$1:T209)+1,"")</f>
        <v/>
      </c>
    </row>
    <row r="211" spans="1:20" x14ac:dyDescent="0.25">
      <c r="A211" t="s">
        <v>676</v>
      </c>
      <c r="B211" s="103">
        <v>45704</v>
      </c>
      <c r="C211" t="s">
        <v>177</v>
      </c>
      <c r="D211" t="s">
        <v>416</v>
      </c>
      <c r="E211" t="s">
        <v>474</v>
      </c>
      <c r="F211" t="s">
        <v>107</v>
      </c>
      <c r="G211" t="s">
        <v>42</v>
      </c>
      <c r="H211">
        <v>3</v>
      </c>
      <c r="I211" s="104">
        <v>199.99</v>
      </c>
      <c r="J211" t="s">
        <v>90</v>
      </c>
      <c r="K211" t="s">
        <v>37</v>
      </c>
      <c r="L211" t="s">
        <v>95</v>
      </c>
      <c r="M211" s="103">
        <v>44735</v>
      </c>
      <c r="N211" s="104">
        <v>599.97</v>
      </c>
      <c r="O211" s="105">
        <f t="shared" si="12"/>
        <v>45716</v>
      </c>
      <c r="P211" s="106">
        <f t="shared" si="13"/>
        <v>2</v>
      </c>
      <c r="Q211" s="106">
        <f>COUNTIF($D$2:D211,D211)</f>
        <v>6</v>
      </c>
      <c r="R211" s="106" t="str">
        <f t="shared" si="14"/>
        <v>Repeat</v>
      </c>
      <c r="S211" s="106" t="str">
        <f t="shared" si="15"/>
        <v>OC</v>
      </c>
      <c r="T211" s="106" t="str">
        <f>IF(AND(OR('Filter Demo'!$C$4="All",K211='Filter Demo'!$C$4),OR('Filter Demo'!$C$5="All",G211='Filter Demo'!$C$5),N211&gt;='Filter Demo'!$C$6),MAX($T$1:T210)+1,"")</f>
        <v/>
      </c>
    </row>
    <row r="212" spans="1:20" x14ac:dyDescent="0.25">
      <c r="A212" t="s">
        <v>677</v>
      </c>
      <c r="B212" s="103">
        <v>45704</v>
      </c>
      <c r="C212" t="s">
        <v>179</v>
      </c>
      <c r="D212" t="s">
        <v>411</v>
      </c>
      <c r="E212" t="s">
        <v>468</v>
      </c>
      <c r="F212" t="s">
        <v>111</v>
      </c>
      <c r="G212" t="s">
        <v>40</v>
      </c>
      <c r="H212">
        <v>2</v>
      </c>
      <c r="I212" s="104">
        <v>89.99</v>
      </c>
      <c r="J212" t="s">
        <v>93</v>
      </c>
      <c r="K212" t="s">
        <v>37</v>
      </c>
      <c r="L212" t="s">
        <v>95</v>
      </c>
      <c r="M212" s="103">
        <v>45257</v>
      </c>
      <c r="N212" s="104">
        <v>179.98</v>
      </c>
      <c r="O212" s="105">
        <f t="shared" si="12"/>
        <v>45716</v>
      </c>
      <c r="P212" s="106">
        <f t="shared" si="13"/>
        <v>1</v>
      </c>
      <c r="Q212" s="106">
        <f>COUNTIF($D$2:D212,D212)</f>
        <v>6</v>
      </c>
      <c r="R212" s="106" t="str">
        <f t="shared" si="14"/>
        <v>Repeat</v>
      </c>
      <c r="S212" s="106" t="str">
        <f t="shared" si="15"/>
        <v>KEY</v>
      </c>
      <c r="T212" s="106" t="str">
        <f>IF(AND(OR('Filter Demo'!$C$4="All",K212='Filter Demo'!$C$4),OR('Filter Demo'!$C$5="All",G212='Filter Demo'!$C$5),N212&gt;='Filter Demo'!$C$6),MAX($T$1:T211)+1,"")</f>
        <v/>
      </c>
    </row>
    <row r="213" spans="1:20" x14ac:dyDescent="0.25">
      <c r="A213" t="s">
        <v>678</v>
      </c>
      <c r="B213" s="103">
        <v>45705</v>
      </c>
      <c r="C213" t="s">
        <v>171</v>
      </c>
      <c r="D213" t="s">
        <v>583</v>
      </c>
      <c r="E213" t="s">
        <v>422</v>
      </c>
      <c r="F213" t="s">
        <v>109</v>
      </c>
      <c r="G213" t="s">
        <v>42</v>
      </c>
      <c r="H213">
        <v>2</v>
      </c>
      <c r="I213" s="104">
        <v>149.99</v>
      </c>
      <c r="J213" t="s">
        <v>90</v>
      </c>
      <c r="K213" t="s">
        <v>43</v>
      </c>
      <c r="L213" t="s">
        <v>97</v>
      </c>
      <c r="M213" s="103">
        <v>44728</v>
      </c>
      <c r="N213" s="104">
        <v>299.98</v>
      </c>
      <c r="O213" s="105">
        <f t="shared" si="12"/>
        <v>45716</v>
      </c>
      <c r="P213" s="106">
        <f t="shared" si="13"/>
        <v>2</v>
      </c>
      <c r="Q213" s="106">
        <f>COUNTIF($D$2:D213,D213)</f>
        <v>2</v>
      </c>
      <c r="R213" s="106" t="str">
        <f t="shared" si="14"/>
        <v>Repeat</v>
      </c>
      <c r="S213" s="106" t="str">
        <f t="shared" si="15"/>
        <v>BOO</v>
      </c>
      <c r="T213" s="106" t="str">
        <f>IF(AND(OR('Filter Demo'!$C$4="All",K213='Filter Demo'!$C$4),OR('Filter Demo'!$C$5="All",G213='Filter Demo'!$C$5),N213&gt;='Filter Demo'!$C$6),MAX($T$1:T212)+1,"")</f>
        <v/>
      </c>
    </row>
    <row r="214" spans="1:20" x14ac:dyDescent="0.25">
      <c r="A214" t="s">
        <v>679</v>
      </c>
      <c r="B214" s="103">
        <v>45707</v>
      </c>
      <c r="C214" t="s">
        <v>185</v>
      </c>
      <c r="D214" t="s">
        <v>472</v>
      </c>
      <c r="E214" t="s">
        <v>443</v>
      </c>
      <c r="F214" t="s">
        <v>103</v>
      </c>
      <c r="G214" t="s">
        <v>40</v>
      </c>
      <c r="H214">
        <v>5</v>
      </c>
      <c r="I214" s="104">
        <v>699.99</v>
      </c>
      <c r="J214" t="s">
        <v>93</v>
      </c>
      <c r="K214" t="s">
        <v>43</v>
      </c>
      <c r="L214" t="s">
        <v>97</v>
      </c>
      <c r="M214" s="103">
        <v>45352</v>
      </c>
      <c r="N214" s="104">
        <v>3499.95</v>
      </c>
      <c r="O214" s="105">
        <f t="shared" si="12"/>
        <v>45716</v>
      </c>
      <c r="P214" s="106">
        <f t="shared" si="13"/>
        <v>0</v>
      </c>
      <c r="Q214" s="106">
        <f>COUNTIF($D$2:D214,D214)</f>
        <v>5</v>
      </c>
      <c r="R214" s="106" t="str">
        <f t="shared" si="14"/>
        <v>Repeat</v>
      </c>
      <c r="S214" s="106" t="str">
        <f t="shared" si="15"/>
        <v>SMA</v>
      </c>
      <c r="T214" s="106">
        <f>IF(AND(OR('Filter Demo'!$C$4="All",K214='Filter Demo'!$C$4),OR('Filter Demo'!$C$5="All",G214='Filter Demo'!$C$5),N214&gt;='Filter Demo'!$C$6),MAX($T$1:T213)+1,"")</f>
        <v>45</v>
      </c>
    </row>
    <row r="215" spans="1:20" x14ac:dyDescent="0.25">
      <c r="A215" t="s">
        <v>680</v>
      </c>
      <c r="B215" s="103">
        <v>45707</v>
      </c>
      <c r="C215" t="s">
        <v>159</v>
      </c>
      <c r="D215" t="s">
        <v>421</v>
      </c>
      <c r="E215" t="s">
        <v>422</v>
      </c>
      <c r="F215" t="s">
        <v>109</v>
      </c>
      <c r="G215" t="s">
        <v>42</v>
      </c>
      <c r="H215">
        <v>3</v>
      </c>
      <c r="I215" s="104">
        <v>149.99</v>
      </c>
      <c r="J215" t="s">
        <v>93</v>
      </c>
      <c r="K215" t="s">
        <v>37</v>
      </c>
      <c r="L215" t="s">
        <v>96</v>
      </c>
      <c r="M215" s="103">
        <v>44633</v>
      </c>
      <c r="N215" s="104">
        <v>449.97</v>
      </c>
      <c r="O215" s="105">
        <f t="shared" si="12"/>
        <v>45716</v>
      </c>
      <c r="P215" s="106">
        <f t="shared" si="13"/>
        <v>2</v>
      </c>
      <c r="Q215" s="106">
        <f>COUNTIF($D$2:D215,D215)</f>
        <v>9</v>
      </c>
      <c r="R215" s="106" t="str">
        <f t="shared" si="14"/>
        <v>Repeat</v>
      </c>
      <c r="S215" s="106" t="str">
        <f t="shared" si="15"/>
        <v>BOO</v>
      </c>
      <c r="T215" s="106" t="str">
        <f>IF(AND(OR('Filter Demo'!$C$4="All",K215='Filter Demo'!$C$4),OR('Filter Demo'!$C$5="All",G215='Filter Demo'!$C$5),N215&gt;='Filter Demo'!$C$6),MAX($T$1:T214)+1,"")</f>
        <v/>
      </c>
    </row>
    <row r="216" spans="1:20" x14ac:dyDescent="0.25">
      <c r="A216" t="s">
        <v>681</v>
      </c>
      <c r="B216" s="103">
        <v>45708</v>
      </c>
      <c r="C216" t="s">
        <v>174</v>
      </c>
      <c r="D216" t="s">
        <v>454</v>
      </c>
      <c r="E216" t="s">
        <v>431</v>
      </c>
      <c r="F216" t="s">
        <v>102</v>
      </c>
      <c r="G216" t="s">
        <v>40</v>
      </c>
      <c r="H216">
        <v>3</v>
      </c>
      <c r="I216" s="104">
        <v>899.99</v>
      </c>
      <c r="J216" t="s">
        <v>90</v>
      </c>
      <c r="K216" t="s">
        <v>39</v>
      </c>
      <c r="L216" t="s">
        <v>96</v>
      </c>
      <c r="M216" s="103">
        <v>44613</v>
      </c>
      <c r="N216" s="104">
        <v>2699.97</v>
      </c>
      <c r="O216" s="105">
        <f t="shared" si="12"/>
        <v>45716</v>
      </c>
      <c r="P216" s="106">
        <f t="shared" si="13"/>
        <v>2</v>
      </c>
      <c r="Q216" s="106">
        <f>COUNTIF($D$2:D216,D216)</f>
        <v>5</v>
      </c>
      <c r="R216" s="106" t="str">
        <f t="shared" si="14"/>
        <v>Repeat</v>
      </c>
      <c r="S216" s="106" t="str">
        <f t="shared" si="15"/>
        <v>LAP</v>
      </c>
      <c r="T216" s="106">
        <f>IF(AND(OR('Filter Demo'!$C$4="All",K216='Filter Demo'!$C$4),OR('Filter Demo'!$C$5="All",G216='Filter Demo'!$C$5),N216&gt;='Filter Demo'!$C$6),MAX($T$1:T215)+1,"")</f>
        <v>46</v>
      </c>
    </row>
    <row r="217" spans="1:20" x14ac:dyDescent="0.25">
      <c r="A217" t="s">
        <v>682</v>
      </c>
      <c r="B217" s="103">
        <v>45708</v>
      </c>
      <c r="C217" t="s">
        <v>189</v>
      </c>
      <c r="D217" t="s">
        <v>526</v>
      </c>
      <c r="E217" t="s">
        <v>474</v>
      </c>
      <c r="F217" t="s">
        <v>107</v>
      </c>
      <c r="G217" t="s">
        <v>42</v>
      </c>
      <c r="H217">
        <v>3</v>
      </c>
      <c r="I217" s="104">
        <v>199.99</v>
      </c>
      <c r="J217" t="s">
        <v>90</v>
      </c>
      <c r="K217" t="s">
        <v>44</v>
      </c>
      <c r="L217" t="s">
        <v>97</v>
      </c>
      <c r="M217" s="103">
        <v>44823</v>
      </c>
      <c r="N217" s="104">
        <v>599.97</v>
      </c>
      <c r="O217" s="105">
        <f t="shared" si="12"/>
        <v>45716</v>
      </c>
      <c r="P217" s="106">
        <f t="shared" si="13"/>
        <v>2</v>
      </c>
      <c r="Q217" s="106">
        <f>COUNTIF($D$2:D217,D217)</f>
        <v>4</v>
      </c>
      <c r="R217" s="106" t="str">
        <f t="shared" si="14"/>
        <v>Repeat</v>
      </c>
      <c r="S217" s="106" t="str">
        <f t="shared" si="15"/>
        <v>OC</v>
      </c>
      <c r="T217" s="106" t="str">
        <f>IF(AND(OR('Filter Demo'!$C$4="All",K217='Filter Demo'!$C$4),OR('Filter Demo'!$C$5="All",G217='Filter Demo'!$C$5),N217&gt;='Filter Demo'!$C$6),MAX($T$1:T216)+1,"")</f>
        <v/>
      </c>
    </row>
    <row r="218" spans="1:20" x14ac:dyDescent="0.25">
      <c r="A218" t="s">
        <v>683</v>
      </c>
      <c r="B218" s="103">
        <v>45710</v>
      </c>
      <c r="C218" t="s">
        <v>173</v>
      </c>
      <c r="D218" t="s">
        <v>428</v>
      </c>
      <c r="E218" t="s">
        <v>460</v>
      </c>
      <c r="F218" t="s">
        <v>108</v>
      </c>
      <c r="G218" t="s">
        <v>42</v>
      </c>
      <c r="H218">
        <v>5</v>
      </c>
      <c r="I218" s="104">
        <v>299.99</v>
      </c>
      <c r="J218" t="s">
        <v>90</v>
      </c>
      <c r="K218" t="s">
        <v>44</v>
      </c>
      <c r="L218" t="s">
        <v>96</v>
      </c>
      <c r="M218" s="103">
        <v>45142</v>
      </c>
      <c r="N218" s="104">
        <v>1499.95</v>
      </c>
      <c r="O218" s="105">
        <f t="shared" si="12"/>
        <v>45716</v>
      </c>
      <c r="P218" s="106">
        <f t="shared" si="13"/>
        <v>1</v>
      </c>
      <c r="Q218" s="106">
        <f>COUNTIF($D$2:D218,D218)</f>
        <v>7</v>
      </c>
      <c r="R218" s="106" t="str">
        <f t="shared" si="14"/>
        <v>Repeat</v>
      </c>
      <c r="S218" s="106" t="str">
        <f t="shared" si="15"/>
        <v>DES</v>
      </c>
      <c r="T218" s="106" t="str">
        <f>IF(AND(OR('Filter Demo'!$C$4="All",K218='Filter Demo'!$C$4),OR('Filter Demo'!$C$5="All",G218='Filter Demo'!$C$5),N218&gt;='Filter Demo'!$C$6),MAX($T$1:T217)+1,"")</f>
        <v/>
      </c>
    </row>
    <row r="219" spans="1:20" x14ac:dyDescent="0.25">
      <c r="A219" t="s">
        <v>684</v>
      </c>
      <c r="B219" s="103">
        <v>45710</v>
      </c>
      <c r="C219" t="s">
        <v>196</v>
      </c>
      <c r="D219" t="s">
        <v>491</v>
      </c>
      <c r="E219" t="s">
        <v>443</v>
      </c>
      <c r="F219" t="s">
        <v>103</v>
      </c>
      <c r="G219" t="s">
        <v>40</v>
      </c>
      <c r="H219">
        <v>1</v>
      </c>
      <c r="I219" s="104">
        <v>699.99</v>
      </c>
      <c r="J219" t="s">
        <v>93</v>
      </c>
      <c r="K219" t="s">
        <v>44</v>
      </c>
      <c r="L219" t="s">
        <v>95</v>
      </c>
      <c r="M219" s="103">
        <v>44934</v>
      </c>
      <c r="N219" s="104">
        <v>699.99</v>
      </c>
      <c r="O219" s="105">
        <f t="shared" si="12"/>
        <v>45716</v>
      </c>
      <c r="P219" s="106">
        <f t="shared" si="13"/>
        <v>2</v>
      </c>
      <c r="Q219" s="106">
        <f>COUNTIF($D$2:D219,D219)</f>
        <v>5</v>
      </c>
      <c r="R219" s="106" t="str">
        <f t="shared" si="14"/>
        <v>Repeat</v>
      </c>
      <c r="S219" s="106" t="str">
        <f t="shared" si="15"/>
        <v>SMA</v>
      </c>
      <c r="T219" s="106" t="str">
        <f>IF(AND(OR('Filter Demo'!$C$4="All",K219='Filter Demo'!$C$4),OR('Filter Demo'!$C$5="All",G219='Filter Demo'!$C$5),N219&gt;='Filter Demo'!$C$6),MAX($T$1:T218)+1,"")</f>
        <v/>
      </c>
    </row>
    <row r="220" spans="1:20" x14ac:dyDescent="0.25">
      <c r="A220" t="s">
        <v>685</v>
      </c>
      <c r="B220" s="103">
        <v>45711</v>
      </c>
      <c r="C220" t="s">
        <v>198</v>
      </c>
      <c r="D220" t="s">
        <v>572</v>
      </c>
      <c r="E220" t="s">
        <v>443</v>
      </c>
      <c r="F220" t="s">
        <v>103</v>
      </c>
      <c r="G220" t="s">
        <v>40</v>
      </c>
      <c r="H220">
        <v>1</v>
      </c>
      <c r="I220" s="104">
        <v>699.99</v>
      </c>
      <c r="J220" t="s">
        <v>90</v>
      </c>
      <c r="K220" t="s">
        <v>41</v>
      </c>
      <c r="L220" t="s">
        <v>97</v>
      </c>
      <c r="M220" s="103">
        <v>44583</v>
      </c>
      <c r="N220" s="104">
        <v>699.99</v>
      </c>
      <c r="O220" s="105">
        <f t="shared" si="12"/>
        <v>45716</v>
      </c>
      <c r="P220" s="106">
        <f t="shared" si="13"/>
        <v>3</v>
      </c>
      <c r="Q220" s="106">
        <f>COUNTIF($D$2:D220,D220)</f>
        <v>3</v>
      </c>
      <c r="R220" s="106" t="str">
        <f t="shared" si="14"/>
        <v>Repeat</v>
      </c>
      <c r="S220" s="106" t="str">
        <f t="shared" si="15"/>
        <v>SMA</v>
      </c>
      <c r="T220" s="106" t="str">
        <f>IF(AND(OR('Filter Demo'!$C$4="All",K220='Filter Demo'!$C$4),OR('Filter Demo'!$C$5="All",G220='Filter Demo'!$C$5),N220&gt;='Filter Demo'!$C$6),MAX($T$1:T219)+1,"")</f>
        <v/>
      </c>
    </row>
    <row r="221" spans="1:20" x14ac:dyDescent="0.25">
      <c r="A221" t="s">
        <v>686</v>
      </c>
      <c r="B221" s="103">
        <v>45711</v>
      </c>
      <c r="C221" t="s">
        <v>193</v>
      </c>
      <c r="D221" t="s">
        <v>646</v>
      </c>
      <c r="E221" t="s">
        <v>422</v>
      </c>
      <c r="F221" t="s">
        <v>109</v>
      </c>
      <c r="G221" t="s">
        <v>42</v>
      </c>
      <c r="H221">
        <v>4</v>
      </c>
      <c r="I221" s="104">
        <v>149.99</v>
      </c>
      <c r="J221" t="s">
        <v>93</v>
      </c>
      <c r="K221" t="s">
        <v>41</v>
      </c>
      <c r="L221" t="s">
        <v>97</v>
      </c>
      <c r="M221" s="103">
        <v>44412</v>
      </c>
      <c r="N221" s="104">
        <v>599.96</v>
      </c>
      <c r="O221" s="105">
        <f t="shared" si="12"/>
        <v>45716</v>
      </c>
      <c r="P221" s="106">
        <f t="shared" si="13"/>
        <v>3</v>
      </c>
      <c r="Q221" s="106">
        <f>COUNTIF($D$2:D221,D221)</f>
        <v>3</v>
      </c>
      <c r="R221" s="106" t="str">
        <f t="shared" si="14"/>
        <v>Repeat</v>
      </c>
      <c r="S221" s="106" t="str">
        <f t="shared" si="15"/>
        <v>BOO</v>
      </c>
      <c r="T221" s="106" t="str">
        <f>IF(AND(OR('Filter Demo'!$C$4="All",K221='Filter Demo'!$C$4),OR('Filter Demo'!$C$5="All",G221='Filter Demo'!$C$5),N221&gt;='Filter Demo'!$C$6),MAX($T$1:T220)+1,"")</f>
        <v/>
      </c>
    </row>
    <row r="222" spans="1:20" x14ac:dyDescent="0.25">
      <c r="A222" t="s">
        <v>687</v>
      </c>
      <c r="B222" s="103">
        <v>45711</v>
      </c>
      <c r="C222" t="s">
        <v>172</v>
      </c>
      <c r="D222" t="s">
        <v>542</v>
      </c>
      <c r="E222" t="s">
        <v>468</v>
      </c>
      <c r="F222" t="s">
        <v>111</v>
      </c>
      <c r="G222" t="s">
        <v>40</v>
      </c>
      <c r="H222">
        <v>5</v>
      </c>
      <c r="I222" s="104">
        <v>89.99</v>
      </c>
      <c r="J222" t="s">
        <v>93</v>
      </c>
      <c r="K222" t="s">
        <v>44</v>
      </c>
      <c r="L222" t="s">
        <v>97</v>
      </c>
      <c r="M222" s="103">
        <v>45140</v>
      </c>
      <c r="N222" s="104">
        <v>449.95</v>
      </c>
      <c r="O222" s="105">
        <f t="shared" si="12"/>
        <v>45716</v>
      </c>
      <c r="P222" s="106">
        <f t="shared" si="13"/>
        <v>1</v>
      </c>
      <c r="Q222" s="106">
        <f>COUNTIF($D$2:D222,D222)</f>
        <v>4</v>
      </c>
      <c r="R222" s="106" t="str">
        <f t="shared" si="14"/>
        <v>Repeat</v>
      </c>
      <c r="S222" s="106" t="str">
        <f t="shared" si="15"/>
        <v>KEY</v>
      </c>
      <c r="T222" s="106" t="str">
        <f>IF(AND(OR('Filter Demo'!$C$4="All",K222='Filter Demo'!$C$4),OR('Filter Demo'!$C$5="All",G222='Filter Demo'!$C$5),N222&gt;='Filter Demo'!$C$6),MAX($T$1:T221)+1,"")</f>
        <v/>
      </c>
    </row>
    <row r="223" spans="1:20" x14ac:dyDescent="0.25">
      <c r="A223" t="s">
        <v>688</v>
      </c>
      <c r="B223" s="103">
        <v>45712</v>
      </c>
      <c r="C223" t="s">
        <v>187</v>
      </c>
      <c r="D223" t="s">
        <v>483</v>
      </c>
      <c r="E223" t="s">
        <v>474</v>
      </c>
      <c r="F223" t="s">
        <v>107</v>
      </c>
      <c r="G223" t="s">
        <v>42</v>
      </c>
      <c r="H223">
        <v>2</v>
      </c>
      <c r="I223" s="104">
        <v>199.99</v>
      </c>
      <c r="J223" t="s">
        <v>90</v>
      </c>
      <c r="K223" t="s">
        <v>37</v>
      </c>
      <c r="L223" t="s">
        <v>97</v>
      </c>
      <c r="M223" s="103">
        <v>44573</v>
      </c>
      <c r="N223" s="104">
        <v>399.98</v>
      </c>
      <c r="O223" s="105">
        <f t="shared" si="12"/>
        <v>45716</v>
      </c>
      <c r="P223" s="106">
        <f t="shared" si="13"/>
        <v>3</v>
      </c>
      <c r="Q223" s="106">
        <f>COUNTIF($D$2:D223,D223)</f>
        <v>5</v>
      </c>
      <c r="R223" s="106" t="str">
        <f t="shared" si="14"/>
        <v>Repeat</v>
      </c>
      <c r="S223" s="106" t="str">
        <f t="shared" si="15"/>
        <v>OC</v>
      </c>
      <c r="T223" s="106" t="str">
        <f>IF(AND(OR('Filter Demo'!$C$4="All",K223='Filter Demo'!$C$4),OR('Filter Demo'!$C$5="All",G223='Filter Demo'!$C$5),N223&gt;='Filter Demo'!$C$6),MAX($T$1:T222)+1,"")</f>
        <v/>
      </c>
    </row>
    <row r="224" spans="1:20" x14ac:dyDescent="0.25">
      <c r="A224" t="s">
        <v>689</v>
      </c>
      <c r="B224" s="103">
        <v>45715</v>
      </c>
      <c r="C224" t="s">
        <v>171</v>
      </c>
      <c r="D224" t="s">
        <v>583</v>
      </c>
      <c r="E224" t="s">
        <v>417</v>
      </c>
      <c r="F224" t="s">
        <v>106</v>
      </c>
      <c r="G224" t="s">
        <v>38</v>
      </c>
      <c r="H224">
        <v>4</v>
      </c>
      <c r="I224" s="104">
        <v>59.99</v>
      </c>
      <c r="J224" t="s">
        <v>90</v>
      </c>
      <c r="K224" t="s">
        <v>44</v>
      </c>
      <c r="L224" t="s">
        <v>96</v>
      </c>
      <c r="M224" s="103">
        <v>45070</v>
      </c>
      <c r="N224" s="104">
        <v>239.96</v>
      </c>
      <c r="O224" s="105">
        <f t="shared" si="12"/>
        <v>45716</v>
      </c>
      <c r="P224" s="106">
        <f t="shared" si="13"/>
        <v>1</v>
      </c>
      <c r="Q224" s="106">
        <f>COUNTIF($D$2:D224,D224)</f>
        <v>3</v>
      </c>
      <c r="R224" s="106" t="str">
        <f t="shared" si="14"/>
        <v>Repeat</v>
      </c>
      <c r="S224" s="106" t="str">
        <f t="shared" si="15"/>
        <v>BLE</v>
      </c>
      <c r="T224" s="106" t="str">
        <f>IF(AND(OR('Filter Demo'!$C$4="All",K224='Filter Demo'!$C$4),OR('Filter Demo'!$C$5="All",G224='Filter Demo'!$C$5),N224&gt;='Filter Demo'!$C$6),MAX($T$1:T223)+1,"")</f>
        <v/>
      </c>
    </row>
    <row r="225" spans="1:20" x14ac:dyDescent="0.25">
      <c r="A225" t="s">
        <v>690</v>
      </c>
      <c r="B225" s="103">
        <v>45715</v>
      </c>
      <c r="C225" t="s">
        <v>204</v>
      </c>
      <c r="D225" t="s">
        <v>452</v>
      </c>
      <c r="E225" t="s">
        <v>460</v>
      </c>
      <c r="F225" t="s">
        <v>108</v>
      </c>
      <c r="G225" t="s">
        <v>42</v>
      </c>
      <c r="H225">
        <v>2</v>
      </c>
      <c r="I225" s="104">
        <v>299.99</v>
      </c>
      <c r="J225" t="s">
        <v>93</v>
      </c>
      <c r="K225" t="s">
        <v>43</v>
      </c>
      <c r="L225" t="s">
        <v>95</v>
      </c>
      <c r="M225" s="103">
        <v>44576</v>
      </c>
      <c r="N225" s="104">
        <v>599.98</v>
      </c>
      <c r="O225" s="105">
        <f t="shared" si="12"/>
        <v>45716</v>
      </c>
      <c r="P225" s="106">
        <f t="shared" si="13"/>
        <v>3</v>
      </c>
      <c r="Q225" s="106">
        <f>COUNTIF($D$2:D225,D225)</f>
        <v>4</v>
      </c>
      <c r="R225" s="106" t="str">
        <f t="shared" si="14"/>
        <v>Repeat</v>
      </c>
      <c r="S225" s="106" t="str">
        <f t="shared" si="15"/>
        <v>DES</v>
      </c>
      <c r="T225" s="106" t="str">
        <f>IF(AND(OR('Filter Demo'!$C$4="All",K225='Filter Demo'!$C$4),OR('Filter Demo'!$C$5="All",G225='Filter Demo'!$C$5),N225&gt;='Filter Demo'!$C$6),MAX($T$1:T224)+1,"")</f>
        <v/>
      </c>
    </row>
    <row r="226" spans="1:20" x14ac:dyDescent="0.25">
      <c r="A226" t="s">
        <v>691</v>
      </c>
      <c r="B226" s="103">
        <v>45718</v>
      </c>
      <c r="C226" t="s">
        <v>173</v>
      </c>
      <c r="D226" t="s">
        <v>428</v>
      </c>
      <c r="E226" t="s">
        <v>422</v>
      </c>
      <c r="F226" t="s">
        <v>109</v>
      </c>
      <c r="G226" t="s">
        <v>42</v>
      </c>
      <c r="H226">
        <v>2</v>
      </c>
      <c r="I226" s="104">
        <v>149.99</v>
      </c>
      <c r="J226" t="s">
        <v>90</v>
      </c>
      <c r="K226" t="s">
        <v>37</v>
      </c>
      <c r="L226" t="s">
        <v>95</v>
      </c>
      <c r="M226" s="103">
        <v>45068</v>
      </c>
      <c r="N226" s="104">
        <v>299.98</v>
      </c>
      <c r="O226" s="105">
        <f t="shared" si="12"/>
        <v>45747</v>
      </c>
      <c r="P226" s="106">
        <f t="shared" si="13"/>
        <v>1</v>
      </c>
      <c r="Q226" s="106">
        <f>COUNTIF($D$2:D226,D226)</f>
        <v>8</v>
      </c>
      <c r="R226" s="106" t="str">
        <f t="shared" si="14"/>
        <v>Repeat</v>
      </c>
      <c r="S226" s="106" t="str">
        <f t="shared" si="15"/>
        <v>BOO</v>
      </c>
      <c r="T226" s="106" t="str">
        <f>IF(AND(OR('Filter Demo'!$C$4="All",K226='Filter Demo'!$C$4),OR('Filter Demo'!$C$5="All",G226='Filter Demo'!$C$5),N226&gt;='Filter Demo'!$C$6),MAX($T$1:T225)+1,"")</f>
        <v/>
      </c>
    </row>
    <row r="227" spans="1:20" x14ac:dyDescent="0.25">
      <c r="A227" t="s">
        <v>692</v>
      </c>
      <c r="B227" s="103">
        <v>45720</v>
      </c>
      <c r="C227" t="s">
        <v>195</v>
      </c>
      <c r="D227" t="s">
        <v>555</v>
      </c>
      <c r="E227" t="s">
        <v>443</v>
      </c>
      <c r="F227" t="s">
        <v>103</v>
      </c>
      <c r="G227" t="s">
        <v>40</v>
      </c>
      <c r="H227">
        <v>5</v>
      </c>
      <c r="I227" s="104">
        <v>699.99</v>
      </c>
      <c r="J227" t="s">
        <v>92</v>
      </c>
      <c r="K227" t="s">
        <v>39</v>
      </c>
      <c r="L227" t="s">
        <v>97</v>
      </c>
      <c r="M227" s="103">
        <v>45161</v>
      </c>
      <c r="N227" s="104">
        <v>3499.95</v>
      </c>
      <c r="O227" s="105">
        <f t="shared" si="12"/>
        <v>45747</v>
      </c>
      <c r="P227" s="106">
        <f t="shared" si="13"/>
        <v>1</v>
      </c>
      <c r="Q227" s="106">
        <f>COUNTIF($D$2:D227,D227)</f>
        <v>6</v>
      </c>
      <c r="R227" s="106" t="str">
        <f t="shared" si="14"/>
        <v>Repeat</v>
      </c>
      <c r="S227" s="106" t="str">
        <f t="shared" si="15"/>
        <v>SMA</v>
      </c>
      <c r="T227" s="106">
        <f>IF(AND(OR('Filter Demo'!$C$4="All",K227='Filter Demo'!$C$4),OR('Filter Demo'!$C$5="All",G227='Filter Demo'!$C$5),N227&gt;='Filter Demo'!$C$6),MAX($T$1:T226)+1,"")</f>
        <v>47</v>
      </c>
    </row>
    <row r="228" spans="1:20" x14ac:dyDescent="0.25">
      <c r="A228" t="s">
        <v>693</v>
      </c>
      <c r="B228" s="103">
        <v>45721</v>
      </c>
      <c r="C228" t="s">
        <v>199</v>
      </c>
      <c r="D228" t="s">
        <v>440</v>
      </c>
      <c r="E228" t="s">
        <v>417</v>
      </c>
      <c r="F228" t="s">
        <v>106</v>
      </c>
      <c r="G228" t="s">
        <v>38</v>
      </c>
      <c r="H228">
        <v>5</v>
      </c>
      <c r="I228" s="104">
        <v>59.99</v>
      </c>
      <c r="J228" t="s">
        <v>90</v>
      </c>
      <c r="K228" t="s">
        <v>44</v>
      </c>
      <c r="L228" t="s">
        <v>97</v>
      </c>
      <c r="M228" s="103">
        <v>45291</v>
      </c>
      <c r="N228" s="104">
        <v>299.95</v>
      </c>
      <c r="O228" s="105">
        <f t="shared" si="12"/>
        <v>45747</v>
      </c>
      <c r="P228" s="106">
        <f t="shared" si="13"/>
        <v>1</v>
      </c>
      <c r="Q228" s="106">
        <f>COUNTIF($D$2:D228,D228)</f>
        <v>2</v>
      </c>
      <c r="R228" s="106" t="str">
        <f t="shared" si="14"/>
        <v>Repeat</v>
      </c>
      <c r="S228" s="106" t="str">
        <f t="shared" si="15"/>
        <v>BLE</v>
      </c>
      <c r="T228" s="106" t="str">
        <f>IF(AND(OR('Filter Demo'!$C$4="All",K228='Filter Demo'!$C$4),OR('Filter Demo'!$C$5="All",G228='Filter Demo'!$C$5),N228&gt;='Filter Demo'!$C$6),MAX($T$1:T227)+1,"")</f>
        <v/>
      </c>
    </row>
    <row r="229" spans="1:20" x14ac:dyDescent="0.25">
      <c r="A229" t="s">
        <v>694</v>
      </c>
      <c r="B229" s="103">
        <v>45723</v>
      </c>
      <c r="C229" t="s">
        <v>179</v>
      </c>
      <c r="D229" t="s">
        <v>411</v>
      </c>
      <c r="E229" t="s">
        <v>468</v>
      </c>
      <c r="F229" t="s">
        <v>111</v>
      </c>
      <c r="G229" t="s">
        <v>40</v>
      </c>
      <c r="H229">
        <v>2</v>
      </c>
      <c r="I229" s="104">
        <v>89.99</v>
      </c>
      <c r="J229" t="s">
        <v>91</v>
      </c>
      <c r="K229" t="s">
        <v>44</v>
      </c>
      <c r="L229" t="s">
        <v>97</v>
      </c>
      <c r="M229" s="103">
        <v>45295</v>
      </c>
      <c r="N229" s="104">
        <v>179.98</v>
      </c>
      <c r="O229" s="105">
        <f t="shared" si="12"/>
        <v>45747</v>
      </c>
      <c r="P229" s="106">
        <f t="shared" si="13"/>
        <v>1</v>
      </c>
      <c r="Q229" s="106">
        <f>COUNTIF($D$2:D229,D229)</f>
        <v>7</v>
      </c>
      <c r="R229" s="106" t="str">
        <f t="shared" si="14"/>
        <v>Repeat</v>
      </c>
      <c r="S229" s="106" t="str">
        <f t="shared" si="15"/>
        <v>KEY</v>
      </c>
      <c r="T229" s="106" t="str">
        <f>IF(AND(OR('Filter Demo'!$C$4="All",K229='Filter Demo'!$C$4),OR('Filter Demo'!$C$5="All",G229='Filter Demo'!$C$5),N229&gt;='Filter Demo'!$C$6),MAX($T$1:T228)+1,"")</f>
        <v/>
      </c>
    </row>
    <row r="230" spans="1:20" x14ac:dyDescent="0.25">
      <c r="A230" t="s">
        <v>695</v>
      </c>
      <c r="B230" s="103">
        <v>45723</v>
      </c>
      <c r="C230" t="s">
        <v>186</v>
      </c>
      <c r="D230" t="s">
        <v>470</v>
      </c>
      <c r="E230" t="s">
        <v>412</v>
      </c>
      <c r="F230" t="s">
        <v>110</v>
      </c>
      <c r="G230" t="s">
        <v>40</v>
      </c>
      <c r="H230">
        <v>5</v>
      </c>
      <c r="I230" s="104">
        <v>249.99</v>
      </c>
      <c r="J230" t="s">
        <v>90</v>
      </c>
      <c r="K230" t="s">
        <v>39</v>
      </c>
      <c r="L230" t="s">
        <v>96</v>
      </c>
      <c r="M230" s="103">
        <v>44540</v>
      </c>
      <c r="N230" s="104">
        <v>1249.95</v>
      </c>
      <c r="O230" s="105">
        <f t="shared" si="12"/>
        <v>45747</v>
      </c>
      <c r="P230" s="106">
        <f t="shared" si="13"/>
        <v>3</v>
      </c>
      <c r="Q230" s="106">
        <f>COUNTIF($D$2:D230,D230)</f>
        <v>7</v>
      </c>
      <c r="R230" s="106" t="str">
        <f t="shared" si="14"/>
        <v>Repeat</v>
      </c>
      <c r="S230" s="106" t="str">
        <f t="shared" si="15"/>
        <v>MON</v>
      </c>
      <c r="T230" s="106">
        <f>IF(AND(OR('Filter Demo'!$C$4="All",K230='Filter Demo'!$C$4),OR('Filter Demo'!$C$5="All",G230='Filter Demo'!$C$5),N230&gt;='Filter Demo'!$C$6),MAX($T$1:T229)+1,"")</f>
        <v>48</v>
      </c>
    </row>
    <row r="231" spans="1:20" x14ac:dyDescent="0.25">
      <c r="A231" t="s">
        <v>696</v>
      </c>
      <c r="B231" s="103">
        <v>45724</v>
      </c>
      <c r="C231" t="s">
        <v>195</v>
      </c>
      <c r="D231" t="s">
        <v>555</v>
      </c>
      <c r="E231" t="s">
        <v>422</v>
      </c>
      <c r="F231" t="s">
        <v>109</v>
      </c>
      <c r="G231" t="s">
        <v>42</v>
      </c>
      <c r="H231">
        <v>2</v>
      </c>
      <c r="I231" s="104">
        <v>149.99</v>
      </c>
      <c r="J231" t="s">
        <v>93</v>
      </c>
      <c r="K231" t="s">
        <v>37</v>
      </c>
      <c r="L231" t="s">
        <v>97</v>
      </c>
      <c r="M231" s="103">
        <v>44632</v>
      </c>
      <c r="N231" s="104">
        <v>299.98</v>
      </c>
      <c r="O231" s="105">
        <f t="shared" si="12"/>
        <v>45747</v>
      </c>
      <c r="P231" s="106">
        <f t="shared" si="13"/>
        <v>2</v>
      </c>
      <c r="Q231" s="106">
        <f>COUNTIF($D$2:D231,D231)</f>
        <v>7</v>
      </c>
      <c r="R231" s="106" t="str">
        <f t="shared" si="14"/>
        <v>Repeat</v>
      </c>
      <c r="S231" s="106" t="str">
        <f t="shared" si="15"/>
        <v>BOO</v>
      </c>
      <c r="T231" s="106" t="str">
        <f>IF(AND(OR('Filter Demo'!$C$4="All",K231='Filter Demo'!$C$4),OR('Filter Demo'!$C$5="All",G231='Filter Demo'!$C$5),N231&gt;='Filter Demo'!$C$6),MAX($T$1:T230)+1,"")</f>
        <v/>
      </c>
    </row>
    <row r="232" spans="1:20" x14ac:dyDescent="0.25">
      <c r="A232" t="s">
        <v>697</v>
      </c>
      <c r="B232" s="103">
        <v>45724</v>
      </c>
      <c r="C232" t="s">
        <v>191</v>
      </c>
      <c r="D232" t="s">
        <v>487</v>
      </c>
      <c r="E232" t="s">
        <v>431</v>
      </c>
      <c r="F232" t="s">
        <v>102</v>
      </c>
      <c r="G232" t="s">
        <v>40</v>
      </c>
      <c r="H232">
        <v>5</v>
      </c>
      <c r="I232" s="104">
        <v>899.99</v>
      </c>
      <c r="J232" t="s">
        <v>93</v>
      </c>
      <c r="K232" t="s">
        <v>39</v>
      </c>
      <c r="L232" t="s">
        <v>97</v>
      </c>
      <c r="M232" s="103">
        <v>45389</v>
      </c>
      <c r="N232" s="104">
        <v>4499.95</v>
      </c>
      <c r="O232" s="105">
        <f t="shared" si="12"/>
        <v>45747</v>
      </c>
      <c r="P232" s="106">
        <f t="shared" si="13"/>
        <v>0</v>
      </c>
      <c r="Q232" s="106">
        <f>COUNTIF($D$2:D232,D232)</f>
        <v>3</v>
      </c>
      <c r="R232" s="106" t="str">
        <f t="shared" si="14"/>
        <v>Repeat</v>
      </c>
      <c r="S232" s="106" t="str">
        <f t="shared" si="15"/>
        <v>LAP</v>
      </c>
      <c r="T232" s="106">
        <f>IF(AND(OR('Filter Demo'!$C$4="All",K232='Filter Demo'!$C$4),OR('Filter Demo'!$C$5="All",G232='Filter Demo'!$C$5),N232&gt;='Filter Demo'!$C$6),MAX($T$1:T231)+1,"")</f>
        <v>49</v>
      </c>
    </row>
    <row r="233" spans="1:20" x14ac:dyDescent="0.25">
      <c r="A233" t="s">
        <v>698</v>
      </c>
      <c r="B233" s="103">
        <v>45724</v>
      </c>
      <c r="C233" t="s">
        <v>173</v>
      </c>
      <c r="D233" t="s">
        <v>428</v>
      </c>
      <c r="E233" t="s">
        <v>422</v>
      </c>
      <c r="F233" t="s">
        <v>109</v>
      </c>
      <c r="G233" t="s">
        <v>42</v>
      </c>
      <c r="H233">
        <v>4</v>
      </c>
      <c r="I233" s="104">
        <v>149.99</v>
      </c>
      <c r="J233" t="s">
        <v>90</v>
      </c>
      <c r="K233" t="s">
        <v>37</v>
      </c>
      <c r="L233" t="s">
        <v>96</v>
      </c>
      <c r="M233" s="103">
        <v>45263</v>
      </c>
      <c r="N233" s="104">
        <v>599.96</v>
      </c>
      <c r="O233" s="105">
        <f t="shared" si="12"/>
        <v>45747</v>
      </c>
      <c r="P233" s="106">
        <f t="shared" si="13"/>
        <v>1</v>
      </c>
      <c r="Q233" s="106">
        <f>COUNTIF($D$2:D233,D233)</f>
        <v>9</v>
      </c>
      <c r="R233" s="106" t="str">
        <f t="shared" si="14"/>
        <v>Repeat</v>
      </c>
      <c r="S233" s="106" t="str">
        <f t="shared" si="15"/>
        <v>BOO</v>
      </c>
      <c r="T233" s="106" t="str">
        <f>IF(AND(OR('Filter Demo'!$C$4="All",K233='Filter Demo'!$C$4),OR('Filter Demo'!$C$5="All",G233='Filter Demo'!$C$5),N233&gt;='Filter Demo'!$C$6),MAX($T$1:T232)+1,"")</f>
        <v/>
      </c>
    </row>
    <row r="234" spans="1:20" x14ac:dyDescent="0.25">
      <c r="A234" t="s">
        <v>699</v>
      </c>
      <c r="B234" s="103">
        <v>45726</v>
      </c>
      <c r="C234" t="s">
        <v>191</v>
      </c>
      <c r="D234" t="s">
        <v>487</v>
      </c>
      <c r="E234" t="s">
        <v>412</v>
      </c>
      <c r="F234" t="s">
        <v>110</v>
      </c>
      <c r="G234" t="s">
        <v>40</v>
      </c>
      <c r="H234">
        <v>1</v>
      </c>
      <c r="I234" s="104">
        <v>249.99</v>
      </c>
      <c r="J234" t="s">
        <v>90</v>
      </c>
      <c r="K234" t="s">
        <v>41</v>
      </c>
      <c r="L234" t="s">
        <v>96</v>
      </c>
      <c r="M234" s="103">
        <v>45117</v>
      </c>
      <c r="N234" s="104">
        <v>249.99</v>
      </c>
      <c r="O234" s="105">
        <f t="shared" si="12"/>
        <v>45747</v>
      </c>
      <c r="P234" s="106">
        <f t="shared" si="13"/>
        <v>1</v>
      </c>
      <c r="Q234" s="106">
        <f>COUNTIF($D$2:D234,D234)</f>
        <v>4</v>
      </c>
      <c r="R234" s="106" t="str">
        <f t="shared" si="14"/>
        <v>Repeat</v>
      </c>
      <c r="S234" s="106" t="str">
        <f t="shared" si="15"/>
        <v>MON</v>
      </c>
      <c r="T234" s="106" t="str">
        <f>IF(AND(OR('Filter Demo'!$C$4="All",K234='Filter Demo'!$C$4),OR('Filter Demo'!$C$5="All",G234='Filter Demo'!$C$5),N234&gt;='Filter Demo'!$C$6),MAX($T$1:T233)+1,"")</f>
        <v/>
      </c>
    </row>
    <row r="235" spans="1:20" x14ac:dyDescent="0.25">
      <c r="A235" t="s">
        <v>700</v>
      </c>
      <c r="B235" s="103">
        <v>45734</v>
      </c>
      <c r="C235" t="s">
        <v>189</v>
      </c>
      <c r="D235" t="s">
        <v>526</v>
      </c>
      <c r="E235" t="s">
        <v>417</v>
      </c>
      <c r="F235" t="s">
        <v>106</v>
      </c>
      <c r="G235" t="s">
        <v>38</v>
      </c>
      <c r="H235">
        <v>2</v>
      </c>
      <c r="I235" s="104">
        <v>59.99</v>
      </c>
      <c r="J235" t="s">
        <v>91</v>
      </c>
      <c r="K235" t="s">
        <v>44</v>
      </c>
      <c r="L235" t="s">
        <v>95</v>
      </c>
      <c r="M235" s="103">
        <v>45193</v>
      </c>
      <c r="N235" s="104">
        <v>119.98</v>
      </c>
      <c r="O235" s="105">
        <f t="shared" si="12"/>
        <v>45747</v>
      </c>
      <c r="P235" s="106">
        <f t="shared" si="13"/>
        <v>1</v>
      </c>
      <c r="Q235" s="106">
        <f>COUNTIF($D$2:D235,D235)</f>
        <v>5</v>
      </c>
      <c r="R235" s="106" t="str">
        <f t="shared" si="14"/>
        <v>Repeat</v>
      </c>
      <c r="S235" s="106" t="str">
        <f t="shared" si="15"/>
        <v>BLE</v>
      </c>
      <c r="T235" s="106" t="str">
        <f>IF(AND(OR('Filter Demo'!$C$4="All",K235='Filter Demo'!$C$4),OR('Filter Demo'!$C$5="All",G235='Filter Demo'!$C$5),N235&gt;='Filter Demo'!$C$6),MAX($T$1:T234)+1,"")</f>
        <v/>
      </c>
    </row>
    <row r="236" spans="1:20" x14ac:dyDescent="0.25">
      <c r="A236" t="s">
        <v>282</v>
      </c>
      <c r="B236" s="103">
        <v>45737</v>
      </c>
      <c r="C236" t="s">
        <v>158</v>
      </c>
      <c r="D236" t="s">
        <v>478</v>
      </c>
      <c r="E236" t="s">
        <v>422</v>
      </c>
      <c r="F236" t="s">
        <v>109</v>
      </c>
      <c r="G236" t="s">
        <v>42</v>
      </c>
      <c r="H236">
        <v>2</v>
      </c>
      <c r="I236" s="104">
        <v>149.99</v>
      </c>
      <c r="J236" t="s">
        <v>90</v>
      </c>
      <c r="K236" t="s">
        <v>44</v>
      </c>
      <c r="L236" t="s">
        <v>97</v>
      </c>
      <c r="M236" s="103">
        <v>45233</v>
      </c>
      <c r="N236" s="104">
        <v>299.98</v>
      </c>
      <c r="O236" s="105">
        <f t="shared" si="12"/>
        <v>45747</v>
      </c>
      <c r="P236" s="106">
        <f t="shared" si="13"/>
        <v>1</v>
      </c>
      <c r="Q236" s="106">
        <f>COUNTIF($D$2:D236,D236)</f>
        <v>5</v>
      </c>
      <c r="R236" s="106" t="str">
        <f t="shared" si="14"/>
        <v>Repeat</v>
      </c>
      <c r="S236" s="106" t="str">
        <f t="shared" si="15"/>
        <v>BOO</v>
      </c>
      <c r="T236" s="106" t="str">
        <f>IF(AND(OR('Filter Demo'!$C$4="All",K236='Filter Demo'!$C$4),OR('Filter Demo'!$C$5="All",G236='Filter Demo'!$C$5),N236&gt;='Filter Demo'!$C$6),MAX($T$1:T235)+1,"")</f>
        <v/>
      </c>
    </row>
    <row r="237" spans="1:20" x14ac:dyDescent="0.25">
      <c r="A237" t="s">
        <v>701</v>
      </c>
      <c r="B237" s="103">
        <v>45737</v>
      </c>
      <c r="C237" t="s">
        <v>196</v>
      </c>
      <c r="D237" t="s">
        <v>491</v>
      </c>
      <c r="E237" t="s">
        <v>431</v>
      </c>
      <c r="F237" t="s">
        <v>102</v>
      </c>
      <c r="G237" t="s">
        <v>40</v>
      </c>
      <c r="H237">
        <v>3</v>
      </c>
      <c r="I237" s="104">
        <v>899.99</v>
      </c>
      <c r="J237" t="s">
        <v>92</v>
      </c>
      <c r="K237" t="s">
        <v>41</v>
      </c>
      <c r="L237" t="s">
        <v>97</v>
      </c>
      <c r="M237" s="103">
        <v>44876</v>
      </c>
      <c r="N237" s="104">
        <v>2699.97</v>
      </c>
      <c r="O237" s="105">
        <f t="shared" si="12"/>
        <v>45747</v>
      </c>
      <c r="P237" s="106">
        <f t="shared" si="13"/>
        <v>2</v>
      </c>
      <c r="Q237" s="106">
        <f>COUNTIF($D$2:D237,D237)</f>
        <v>6</v>
      </c>
      <c r="R237" s="106" t="str">
        <f t="shared" si="14"/>
        <v>Repeat</v>
      </c>
      <c r="S237" s="106" t="str">
        <f t="shared" si="15"/>
        <v>LAP</v>
      </c>
      <c r="T237" s="106">
        <f>IF(AND(OR('Filter Demo'!$C$4="All",K237='Filter Demo'!$C$4),OR('Filter Demo'!$C$5="All",G237='Filter Demo'!$C$5),N237&gt;='Filter Demo'!$C$6),MAX($T$1:T236)+1,"")</f>
        <v>50</v>
      </c>
    </row>
    <row r="238" spans="1:20" x14ac:dyDescent="0.25">
      <c r="A238" t="s">
        <v>702</v>
      </c>
      <c r="B238" s="103">
        <v>45737</v>
      </c>
      <c r="C238" t="s">
        <v>180</v>
      </c>
      <c r="D238" t="s">
        <v>424</v>
      </c>
      <c r="E238" t="s">
        <v>431</v>
      </c>
      <c r="F238" t="s">
        <v>102</v>
      </c>
      <c r="G238" t="s">
        <v>40</v>
      </c>
      <c r="H238">
        <v>3</v>
      </c>
      <c r="I238" s="104">
        <v>899.99</v>
      </c>
      <c r="J238" t="s">
        <v>93</v>
      </c>
      <c r="K238" t="s">
        <v>41</v>
      </c>
      <c r="L238" t="s">
        <v>95</v>
      </c>
      <c r="M238" s="103">
        <v>44975</v>
      </c>
      <c r="N238" s="104">
        <v>2699.97</v>
      </c>
      <c r="O238" s="105">
        <f t="shared" si="12"/>
        <v>45747</v>
      </c>
      <c r="P238" s="106">
        <f t="shared" si="13"/>
        <v>2</v>
      </c>
      <c r="Q238" s="106">
        <f>COUNTIF($D$2:D238,D238)</f>
        <v>6</v>
      </c>
      <c r="R238" s="106" t="str">
        <f t="shared" si="14"/>
        <v>Repeat</v>
      </c>
      <c r="S238" s="106" t="str">
        <f t="shared" si="15"/>
        <v>LAP</v>
      </c>
      <c r="T238" s="106">
        <f>IF(AND(OR('Filter Demo'!$C$4="All",K238='Filter Demo'!$C$4),OR('Filter Demo'!$C$5="All",G238='Filter Demo'!$C$5),N238&gt;='Filter Demo'!$C$6),MAX($T$1:T237)+1,"")</f>
        <v>51</v>
      </c>
    </row>
    <row r="239" spans="1:20" x14ac:dyDescent="0.25">
      <c r="A239" t="s">
        <v>703</v>
      </c>
      <c r="B239" s="103">
        <v>45739</v>
      </c>
      <c r="C239" t="s">
        <v>179</v>
      </c>
      <c r="D239" t="s">
        <v>411</v>
      </c>
      <c r="E239" t="s">
        <v>460</v>
      </c>
      <c r="F239" t="s">
        <v>108</v>
      </c>
      <c r="G239" t="s">
        <v>42</v>
      </c>
      <c r="H239">
        <v>3</v>
      </c>
      <c r="I239" s="104">
        <v>299.99</v>
      </c>
      <c r="J239" t="s">
        <v>91</v>
      </c>
      <c r="K239" t="s">
        <v>44</v>
      </c>
      <c r="L239" t="s">
        <v>97</v>
      </c>
      <c r="M239" s="103">
        <v>45234</v>
      </c>
      <c r="N239" s="104">
        <v>899.97</v>
      </c>
      <c r="O239" s="105">
        <f t="shared" si="12"/>
        <v>45747</v>
      </c>
      <c r="P239" s="106">
        <f t="shared" si="13"/>
        <v>1</v>
      </c>
      <c r="Q239" s="106">
        <f>COUNTIF($D$2:D239,D239)</f>
        <v>8</v>
      </c>
      <c r="R239" s="106" t="str">
        <f t="shared" si="14"/>
        <v>Repeat</v>
      </c>
      <c r="S239" s="106" t="str">
        <f t="shared" si="15"/>
        <v>DES</v>
      </c>
      <c r="T239" s="106" t="str">
        <f>IF(AND(OR('Filter Demo'!$C$4="All",K239='Filter Demo'!$C$4),OR('Filter Demo'!$C$5="All",G239='Filter Demo'!$C$5),N239&gt;='Filter Demo'!$C$6),MAX($T$1:T238)+1,"")</f>
        <v/>
      </c>
    </row>
    <row r="240" spans="1:20" x14ac:dyDescent="0.25">
      <c r="A240" t="s">
        <v>704</v>
      </c>
      <c r="B240" s="103">
        <v>45740</v>
      </c>
      <c r="C240" t="s">
        <v>157</v>
      </c>
      <c r="D240" t="s">
        <v>705</v>
      </c>
      <c r="E240" t="s">
        <v>422</v>
      </c>
      <c r="F240" t="s">
        <v>109</v>
      </c>
      <c r="G240" t="s">
        <v>42</v>
      </c>
      <c r="H240">
        <v>4</v>
      </c>
      <c r="I240" s="104">
        <v>149.99</v>
      </c>
      <c r="J240" t="s">
        <v>93</v>
      </c>
      <c r="K240" t="s">
        <v>44</v>
      </c>
      <c r="L240" t="s">
        <v>96</v>
      </c>
      <c r="M240" s="103">
        <v>44560</v>
      </c>
      <c r="N240" s="104">
        <v>599.96</v>
      </c>
      <c r="O240" s="105">
        <f t="shared" si="12"/>
        <v>45747</v>
      </c>
      <c r="P240" s="106">
        <f t="shared" si="13"/>
        <v>3</v>
      </c>
      <c r="Q240" s="106">
        <f>COUNTIF($D$2:D240,D240)</f>
        <v>1</v>
      </c>
      <c r="R240" s="106" t="str">
        <f t="shared" si="14"/>
        <v>Single</v>
      </c>
      <c r="S240" s="106" t="str">
        <f t="shared" si="15"/>
        <v>BOO</v>
      </c>
      <c r="T240" s="106" t="str">
        <f>IF(AND(OR('Filter Demo'!$C$4="All",K240='Filter Demo'!$C$4),OR('Filter Demo'!$C$5="All",G240='Filter Demo'!$C$5),N240&gt;='Filter Demo'!$C$6),MAX($T$1:T239)+1,"")</f>
        <v/>
      </c>
    </row>
    <row r="241" spans="1:20" x14ac:dyDescent="0.25">
      <c r="A241" t="s">
        <v>706</v>
      </c>
      <c r="B241" s="103">
        <v>45743</v>
      </c>
      <c r="C241" t="s">
        <v>200</v>
      </c>
      <c r="D241" t="s">
        <v>458</v>
      </c>
      <c r="E241" t="s">
        <v>466</v>
      </c>
      <c r="F241" t="s">
        <v>105</v>
      </c>
      <c r="G241" t="s">
        <v>38</v>
      </c>
      <c r="H241">
        <v>4</v>
      </c>
      <c r="I241" s="104">
        <v>79.989999999999995</v>
      </c>
      <c r="J241" t="s">
        <v>91</v>
      </c>
      <c r="K241" t="s">
        <v>37</v>
      </c>
      <c r="L241" t="s">
        <v>95</v>
      </c>
      <c r="M241" s="103">
        <v>45288</v>
      </c>
      <c r="N241" s="104">
        <v>319.95999999999998</v>
      </c>
      <c r="O241" s="105">
        <f t="shared" si="12"/>
        <v>45747</v>
      </c>
      <c r="P241" s="106">
        <f t="shared" si="13"/>
        <v>1</v>
      </c>
      <c r="Q241" s="106">
        <f>COUNTIF($D$2:D241,D241)</f>
        <v>4</v>
      </c>
      <c r="R241" s="106" t="str">
        <f t="shared" si="14"/>
        <v>Repeat</v>
      </c>
      <c r="S241" s="106" t="str">
        <f t="shared" si="15"/>
        <v>CM</v>
      </c>
      <c r="T241" s="106" t="str">
        <f>IF(AND(OR('Filter Demo'!$C$4="All",K241='Filter Demo'!$C$4),OR('Filter Demo'!$C$5="All",G241='Filter Demo'!$C$5),N241&gt;='Filter Demo'!$C$6),MAX($T$1:T240)+1,"")</f>
        <v/>
      </c>
    </row>
    <row r="242" spans="1:20" x14ac:dyDescent="0.25">
      <c r="A242" t="s">
        <v>707</v>
      </c>
      <c r="B242" s="103">
        <v>45745</v>
      </c>
      <c r="C242" t="s">
        <v>176</v>
      </c>
      <c r="D242" t="s">
        <v>520</v>
      </c>
      <c r="E242" t="s">
        <v>468</v>
      </c>
      <c r="F242" t="s">
        <v>111</v>
      </c>
      <c r="G242" t="s">
        <v>40</v>
      </c>
      <c r="H242">
        <v>5</v>
      </c>
      <c r="I242" s="104">
        <v>89.99</v>
      </c>
      <c r="J242" t="s">
        <v>93</v>
      </c>
      <c r="K242" t="s">
        <v>43</v>
      </c>
      <c r="L242" t="s">
        <v>95</v>
      </c>
      <c r="M242" s="103">
        <v>44704</v>
      </c>
      <c r="N242" s="104">
        <v>449.95</v>
      </c>
      <c r="O242" s="105">
        <f t="shared" si="12"/>
        <v>45747</v>
      </c>
      <c r="P242" s="106">
        <f t="shared" si="13"/>
        <v>2</v>
      </c>
      <c r="Q242" s="106">
        <f>COUNTIF($D$2:D242,D242)</f>
        <v>4</v>
      </c>
      <c r="R242" s="106" t="str">
        <f t="shared" si="14"/>
        <v>Repeat</v>
      </c>
      <c r="S242" s="106" t="str">
        <f t="shared" si="15"/>
        <v>KEY</v>
      </c>
      <c r="T242" s="106" t="str">
        <f>IF(AND(OR('Filter Demo'!$C$4="All",K242='Filter Demo'!$C$4),OR('Filter Demo'!$C$5="All",G242='Filter Demo'!$C$5),N242&gt;='Filter Demo'!$C$6),MAX($T$1:T241)+1,"")</f>
        <v/>
      </c>
    </row>
    <row r="243" spans="1:20" x14ac:dyDescent="0.25">
      <c r="A243" t="s">
        <v>708</v>
      </c>
      <c r="B243" s="103">
        <v>45746</v>
      </c>
      <c r="C243" t="s">
        <v>204</v>
      </c>
      <c r="D243" t="s">
        <v>452</v>
      </c>
      <c r="E243" t="s">
        <v>422</v>
      </c>
      <c r="F243" t="s">
        <v>109</v>
      </c>
      <c r="G243" t="s">
        <v>42</v>
      </c>
      <c r="H243">
        <v>3</v>
      </c>
      <c r="I243" s="104">
        <v>149.99</v>
      </c>
      <c r="J243" t="s">
        <v>93</v>
      </c>
      <c r="K243" t="s">
        <v>37</v>
      </c>
      <c r="L243" t="s">
        <v>96</v>
      </c>
      <c r="M243" s="103">
        <v>45171</v>
      </c>
      <c r="N243" s="104">
        <v>449.97</v>
      </c>
      <c r="O243" s="105">
        <f t="shared" si="12"/>
        <v>45747</v>
      </c>
      <c r="P243" s="106">
        <f t="shared" si="13"/>
        <v>1</v>
      </c>
      <c r="Q243" s="106">
        <f>COUNTIF($D$2:D243,D243)</f>
        <v>5</v>
      </c>
      <c r="R243" s="106" t="str">
        <f t="shared" si="14"/>
        <v>Repeat</v>
      </c>
      <c r="S243" s="106" t="str">
        <f t="shared" si="15"/>
        <v>BOO</v>
      </c>
      <c r="T243" s="106" t="str">
        <f>IF(AND(OR('Filter Demo'!$C$4="All",K243='Filter Demo'!$C$4),OR('Filter Demo'!$C$5="All",G243='Filter Demo'!$C$5),N243&gt;='Filter Demo'!$C$6),MAX($T$1:T242)+1,"")</f>
        <v/>
      </c>
    </row>
    <row r="244" spans="1:20" x14ac:dyDescent="0.25">
      <c r="A244" t="s">
        <v>709</v>
      </c>
      <c r="B244" s="103">
        <v>45746</v>
      </c>
      <c r="C244" t="s">
        <v>182</v>
      </c>
      <c r="D244" t="s">
        <v>433</v>
      </c>
      <c r="E244" t="s">
        <v>468</v>
      </c>
      <c r="F244" t="s">
        <v>111</v>
      </c>
      <c r="G244" t="s">
        <v>40</v>
      </c>
      <c r="H244">
        <v>2</v>
      </c>
      <c r="I244" s="104">
        <v>89.99</v>
      </c>
      <c r="J244" t="s">
        <v>92</v>
      </c>
      <c r="K244" t="s">
        <v>44</v>
      </c>
      <c r="L244" t="s">
        <v>97</v>
      </c>
      <c r="M244" s="103">
        <v>44522</v>
      </c>
      <c r="N244" s="104">
        <v>179.98</v>
      </c>
      <c r="O244" s="105">
        <f t="shared" si="12"/>
        <v>45747</v>
      </c>
      <c r="P244" s="106">
        <f t="shared" si="13"/>
        <v>3</v>
      </c>
      <c r="Q244" s="106">
        <f>COUNTIF($D$2:D244,D244)</f>
        <v>8</v>
      </c>
      <c r="R244" s="106" t="str">
        <f t="shared" si="14"/>
        <v>Repeat</v>
      </c>
      <c r="S244" s="106" t="str">
        <f t="shared" si="15"/>
        <v>KEY</v>
      </c>
      <c r="T244" s="106" t="str">
        <f>IF(AND(OR('Filter Demo'!$C$4="All",K244='Filter Demo'!$C$4),OR('Filter Demo'!$C$5="All",G244='Filter Demo'!$C$5),N244&gt;='Filter Demo'!$C$6),MAX($T$1:T243)+1,"")</f>
        <v/>
      </c>
    </row>
    <row r="245" spans="1:20" x14ac:dyDescent="0.25">
      <c r="A245" t="s">
        <v>710</v>
      </c>
      <c r="B245" s="103">
        <v>45748</v>
      </c>
      <c r="C245" t="s">
        <v>200</v>
      </c>
      <c r="D245" t="s">
        <v>458</v>
      </c>
      <c r="E245" t="s">
        <v>443</v>
      </c>
      <c r="F245" t="s">
        <v>103</v>
      </c>
      <c r="G245" t="s">
        <v>40</v>
      </c>
      <c r="H245">
        <v>2</v>
      </c>
      <c r="I245" s="104">
        <v>699.99</v>
      </c>
      <c r="J245" t="s">
        <v>93</v>
      </c>
      <c r="K245" t="s">
        <v>41</v>
      </c>
      <c r="L245" t="s">
        <v>96</v>
      </c>
      <c r="M245" s="103">
        <v>44618</v>
      </c>
      <c r="N245" s="104">
        <v>1399.98</v>
      </c>
      <c r="O245" s="105">
        <f t="shared" si="12"/>
        <v>45777</v>
      </c>
      <c r="P245" s="106">
        <f t="shared" si="13"/>
        <v>3</v>
      </c>
      <c r="Q245" s="106">
        <f>COUNTIF($D$2:D245,D245)</f>
        <v>5</v>
      </c>
      <c r="R245" s="106" t="str">
        <f t="shared" si="14"/>
        <v>Repeat</v>
      </c>
      <c r="S245" s="106" t="str">
        <f t="shared" si="15"/>
        <v>SMA</v>
      </c>
      <c r="T245" s="106">
        <f>IF(AND(OR('Filter Demo'!$C$4="All",K245='Filter Demo'!$C$4),OR('Filter Demo'!$C$5="All",G245='Filter Demo'!$C$5),N245&gt;='Filter Demo'!$C$6),MAX($T$1:T244)+1,"")</f>
        <v>52</v>
      </c>
    </row>
    <row r="246" spans="1:20" x14ac:dyDescent="0.25">
      <c r="A246" t="s">
        <v>711</v>
      </c>
      <c r="B246" s="103">
        <v>45749</v>
      </c>
      <c r="C246" t="s">
        <v>185</v>
      </c>
      <c r="D246" t="s">
        <v>472</v>
      </c>
      <c r="E246" t="s">
        <v>431</v>
      </c>
      <c r="F246" t="s">
        <v>102</v>
      </c>
      <c r="G246" t="s">
        <v>40</v>
      </c>
      <c r="H246">
        <v>3</v>
      </c>
      <c r="I246" s="104">
        <v>899.99</v>
      </c>
      <c r="J246" t="s">
        <v>90</v>
      </c>
      <c r="K246" t="s">
        <v>37</v>
      </c>
      <c r="L246" t="s">
        <v>96</v>
      </c>
      <c r="M246" s="103">
        <v>44953</v>
      </c>
      <c r="N246" s="104">
        <v>2699.97</v>
      </c>
      <c r="O246" s="105">
        <f t="shared" si="12"/>
        <v>45777</v>
      </c>
      <c r="P246" s="106">
        <f t="shared" si="13"/>
        <v>2</v>
      </c>
      <c r="Q246" s="106">
        <f>COUNTIF($D$2:D246,D246)</f>
        <v>6</v>
      </c>
      <c r="R246" s="106" t="str">
        <f t="shared" si="14"/>
        <v>Repeat</v>
      </c>
      <c r="S246" s="106" t="str">
        <f t="shared" si="15"/>
        <v>LAP</v>
      </c>
      <c r="T246" s="106">
        <f>IF(AND(OR('Filter Demo'!$C$4="All",K246='Filter Demo'!$C$4),OR('Filter Demo'!$C$5="All",G246='Filter Demo'!$C$5),N246&gt;='Filter Demo'!$C$6),MAX($T$1:T245)+1,"")</f>
        <v>53</v>
      </c>
    </row>
    <row r="247" spans="1:20" x14ac:dyDescent="0.25">
      <c r="A247" t="s">
        <v>712</v>
      </c>
      <c r="B247" s="103">
        <v>45755</v>
      </c>
      <c r="C247" t="s">
        <v>204</v>
      </c>
      <c r="D247" t="s">
        <v>452</v>
      </c>
      <c r="E247" t="s">
        <v>466</v>
      </c>
      <c r="F247" t="s">
        <v>105</v>
      </c>
      <c r="G247" t="s">
        <v>38</v>
      </c>
      <c r="H247">
        <v>3</v>
      </c>
      <c r="I247" s="104">
        <v>79.989999999999995</v>
      </c>
      <c r="J247" t="s">
        <v>91</v>
      </c>
      <c r="K247" t="s">
        <v>41</v>
      </c>
      <c r="L247" t="s">
        <v>95</v>
      </c>
      <c r="M247" s="103">
        <v>44511</v>
      </c>
      <c r="N247" s="104">
        <v>239.97</v>
      </c>
      <c r="O247" s="105">
        <f t="shared" si="12"/>
        <v>45777</v>
      </c>
      <c r="P247" s="106">
        <f t="shared" si="13"/>
        <v>3</v>
      </c>
      <c r="Q247" s="106">
        <f>COUNTIF($D$2:D247,D247)</f>
        <v>6</v>
      </c>
      <c r="R247" s="106" t="str">
        <f t="shared" si="14"/>
        <v>Repeat</v>
      </c>
      <c r="S247" s="106" t="str">
        <f t="shared" si="15"/>
        <v>CM</v>
      </c>
      <c r="T247" s="106" t="str">
        <f>IF(AND(OR('Filter Demo'!$C$4="All",K247='Filter Demo'!$C$4),OR('Filter Demo'!$C$5="All",G247='Filter Demo'!$C$5),N247&gt;='Filter Demo'!$C$6),MAX($T$1:T246)+1,"")</f>
        <v/>
      </c>
    </row>
    <row r="248" spans="1:20" x14ac:dyDescent="0.25">
      <c r="A248" t="s">
        <v>713</v>
      </c>
      <c r="B248" s="103">
        <v>45756</v>
      </c>
      <c r="C248" t="s">
        <v>165</v>
      </c>
      <c r="D248" t="s">
        <v>430</v>
      </c>
      <c r="E248" t="s">
        <v>468</v>
      </c>
      <c r="F248" t="s">
        <v>111</v>
      </c>
      <c r="G248" t="s">
        <v>40</v>
      </c>
      <c r="H248">
        <v>1</v>
      </c>
      <c r="I248" s="104">
        <v>89.99</v>
      </c>
      <c r="J248" t="s">
        <v>92</v>
      </c>
      <c r="K248" t="s">
        <v>39</v>
      </c>
      <c r="L248" t="s">
        <v>95</v>
      </c>
      <c r="M248" s="103">
        <v>45346</v>
      </c>
      <c r="N248" s="104">
        <v>89.99</v>
      </c>
      <c r="O248" s="105">
        <f t="shared" si="12"/>
        <v>45777</v>
      </c>
      <c r="P248" s="106">
        <f t="shared" si="13"/>
        <v>1</v>
      </c>
      <c r="Q248" s="106">
        <f>COUNTIF($D$2:D248,D248)</f>
        <v>5</v>
      </c>
      <c r="R248" s="106" t="str">
        <f t="shared" si="14"/>
        <v>Repeat</v>
      </c>
      <c r="S248" s="106" t="str">
        <f t="shared" si="15"/>
        <v>KEY</v>
      </c>
      <c r="T248" s="106" t="str">
        <f>IF(AND(OR('Filter Demo'!$C$4="All",K248='Filter Demo'!$C$4),OR('Filter Demo'!$C$5="All",G248='Filter Demo'!$C$5),N248&gt;='Filter Demo'!$C$6),MAX($T$1:T247)+1,"")</f>
        <v/>
      </c>
    </row>
    <row r="249" spans="1:20" x14ac:dyDescent="0.25">
      <c r="A249" t="s">
        <v>714</v>
      </c>
      <c r="B249" s="103">
        <v>45758</v>
      </c>
      <c r="C249" t="s">
        <v>201</v>
      </c>
      <c r="D249" t="s">
        <v>616</v>
      </c>
      <c r="E249" t="s">
        <v>443</v>
      </c>
      <c r="F249" t="s">
        <v>103</v>
      </c>
      <c r="G249" t="s">
        <v>40</v>
      </c>
      <c r="H249">
        <v>3</v>
      </c>
      <c r="I249" s="104">
        <v>699.99</v>
      </c>
      <c r="J249" t="s">
        <v>93</v>
      </c>
      <c r="K249" t="s">
        <v>41</v>
      </c>
      <c r="L249" t="s">
        <v>95</v>
      </c>
      <c r="M249" s="103">
        <v>44909</v>
      </c>
      <c r="N249" s="104">
        <v>2099.9699999999998</v>
      </c>
      <c r="O249" s="105">
        <f t="shared" si="12"/>
        <v>45777</v>
      </c>
      <c r="P249" s="106">
        <f t="shared" si="13"/>
        <v>2</v>
      </c>
      <c r="Q249" s="106">
        <f>COUNTIF($D$2:D249,D249)</f>
        <v>4</v>
      </c>
      <c r="R249" s="106" t="str">
        <f t="shared" si="14"/>
        <v>Repeat</v>
      </c>
      <c r="S249" s="106" t="str">
        <f t="shared" si="15"/>
        <v>SMA</v>
      </c>
      <c r="T249" s="106">
        <f>IF(AND(OR('Filter Demo'!$C$4="All",K249='Filter Demo'!$C$4),OR('Filter Demo'!$C$5="All",G249='Filter Demo'!$C$5),N249&gt;='Filter Demo'!$C$6),MAX($T$1:T248)+1,"")</f>
        <v>54</v>
      </c>
    </row>
    <row r="250" spans="1:20" x14ac:dyDescent="0.25">
      <c r="A250" t="s">
        <v>715</v>
      </c>
      <c r="B250" s="103">
        <v>45758</v>
      </c>
      <c r="C250" t="s">
        <v>195</v>
      </c>
      <c r="D250" t="s">
        <v>555</v>
      </c>
      <c r="E250" t="s">
        <v>468</v>
      </c>
      <c r="F250" t="s">
        <v>111</v>
      </c>
      <c r="G250" t="s">
        <v>40</v>
      </c>
      <c r="H250">
        <v>2</v>
      </c>
      <c r="I250" s="104">
        <v>89.99</v>
      </c>
      <c r="J250" t="s">
        <v>92</v>
      </c>
      <c r="K250" t="s">
        <v>39</v>
      </c>
      <c r="L250" t="s">
        <v>95</v>
      </c>
      <c r="M250" s="103">
        <v>45088</v>
      </c>
      <c r="N250" s="104">
        <v>179.98</v>
      </c>
      <c r="O250" s="105">
        <f t="shared" si="12"/>
        <v>45777</v>
      </c>
      <c r="P250" s="106">
        <f t="shared" si="13"/>
        <v>1</v>
      </c>
      <c r="Q250" s="106">
        <f>COUNTIF($D$2:D250,D250)</f>
        <v>8</v>
      </c>
      <c r="R250" s="106" t="str">
        <f t="shared" si="14"/>
        <v>Repeat</v>
      </c>
      <c r="S250" s="106" t="str">
        <f t="shared" si="15"/>
        <v>KEY</v>
      </c>
      <c r="T250" s="106" t="str">
        <f>IF(AND(OR('Filter Demo'!$C$4="All",K250='Filter Demo'!$C$4),OR('Filter Demo'!$C$5="All",G250='Filter Demo'!$C$5),N250&gt;='Filter Demo'!$C$6),MAX($T$1:T249)+1,"")</f>
        <v/>
      </c>
    </row>
    <row r="251" spans="1:20" x14ac:dyDescent="0.25">
      <c r="A251" t="s">
        <v>716</v>
      </c>
      <c r="B251" s="103">
        <v>45758</v>
      </c>
      <c r="C251" t="s">
        <v>187</v>
      </c>
      <c r="D251" t="s">
        <v>483</v>
      </c>
      <c r="E251" t="s">
        <v>468</v>
      </c>
      <c r="F251" t="s">
        <v>111</v>
      </c>
      <c r="G251" t="s">
        <v>40</v>
      </c>
      <c r="H251">
        <v>3</v>
      </c>
      <c r="I251" s="104">
        <v>89.99</v>
      </c>
      <c r="J251" t="s">
        <v>92</v>
      </c>
      <c r="K251" t="s">
        <v>41</v>
      </c>
      <c r="L251" t="s">
        <v>97</v>
      </c>
      <c r="M251" s="103">
        <v>44878</v>
      </c>
      <c r="N251" s="104">
        <v>269.97000000000003</v>
      </c>
      <c r="O251" s="105">
        <f t="shared" si="12"/>
        <v>45777</v>
      </c>
      <c r="P251" s="106">
        <f t="shared" si="13"/>
        <v>2</v>
      </c>
      <c r="Q251" s="106">
        <f>COUNTIF($D$2:D251,D251)</f>
        <v>6</v>
      </c>
      <c r="R251" s="106" t="str">
        <f t="shared" si="14"/>
        <v>Repeat</v>
      </c>
      <c r="S251" s="106" t="str">
        <f t="shared" si="15"/>
        <v>KEY</v>
      </c>
      <c r="T251" s="106" t="str">
        <f>IF(AND(OR('Filter Demo'!$C$4="All",K251='Filter Demo'!$C$4),OR('Filter Demo'!$C$5="All",G251='Filter Demo'!$C$5),N251&gt;='Filter Demo'!$C$6),MAX($T$1:T250)+1,"")</f>
        <v/>
      </c>
    </row>
  </sheetData>
  <autoFilter ref="A1:T251" xr:uid="{00000000-0009-0000-0000-00000C000000}"/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AC58-3FD7-41CB-9104-A6104B0FB8D6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Dashboard</vt:lpstr>
      <vt:lpstr>Executive Charts</vt:lpstr>
      <vt:lpstr>Visualizations</vt:lpstr>
      <vt:lpstr>Insights Report</vt:lpstr>
      <vt:lpstr>Sales Analysis</vt:lpstr>
      <vt:lpstr>Customer Analysis</vt:lpstr>
      <vt:lpstr>Names &amp; Lists</vt:lpstr>
      <vt:lpstr>Date &amp; Time</vt:lpstr>
      <vt:lpstr>Filter Demo</vt:lpstr>
      <vt:lpstr>What-If</vt:lpstr>
      <vt:lpstr>Regression</vt:lpstr>
      <vt:lpstr>Chart Data</vt:lpstr>
      <vt:lpstr>Raw Data</vt:lpstr>
      <vt:lpstr>Sheet1</vt:lpstr>
      <vt:lpstr>'Executive Charts'!Print_Area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Yaksh Patel</cp:lastModifiedBy>
  <cp:revision>2</cp:revision>
  <dcterms:created xsi:type="dcterms:W3CDTF">2026-10-14T06:00:38Z</dcterms:created>
  <dcterms:modified xsi:type="dcterms:W3CDTF">2026-10-15T05:40:29Z</dcterms:modified>
  <dc:language>en-US</dc:language>
</cp:coreProperties>
</file>