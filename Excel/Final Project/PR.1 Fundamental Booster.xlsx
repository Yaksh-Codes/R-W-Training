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AKSH PATEL\OneDrive\Desktop\Red &amp; White\Excel\PR.1 Fundamental Booster\"/>
    </mc:Choice>
  </mc:AlternateContent>
  <xr:revisionPtr revIDLastSave="0" documentId="13_ncr:1_{2B9A483E-B2F4-4DE7-9E9C-D2E984FA7C8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ettings" sheetId="2" r:id="rId1"/>
    <sheet name="Price_List" sheetId="3" r:id="rId2"/>
    <sheet name="Students" sheetId="4" r:id="rId3"/>
    <sheet name="Sales" sheetId="5" r:id="rId4"/>
    <sheet name="Employees" sheetId="6" r:id="rId5"/>
    <sheet name="Analysi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7" l="1"/>
  <c r="B63" i="7"/>
  <c r="D62" i="7"/>
  <c r="B62" i="7"/>
  <c r="B61" i="7"/>
  <c r="D61" i="7" s="1"/>
  <c r="B60" i="7"/>
  <c r="D60" i="7" s="1"/>
  <c r="B59" i="7"/>
  <c r="D59" i="7" s="1"/>
  <c r="D58" i="7"/>
  <c r="D53" i="7"/>
  <c r="D51" i="7"/>
  <c r="C51" i="7"/>
  <c r="B51" i="7"/>
  <c r="D50" i="7"/>
  <c r="D49" i="7"/>
  <c r="D46" i="7"/>
  <c r="D45" i="7"/>
  <c r="D37" i="7"/>
  <c r="D36" i="7"/>
  <c r="D33" i="7"/>
  <c r="D32" i="7"/>
  <c r="D31" i="7"/>
  <c r="D30" i="7"/>
  <c r="D29" i="7"/>
  <c r="D26" i="7"/>
  <c r="D25" i="7"/>
  <c r="D24" i="7"/>
  <c r="D23" i="7"/>
  <c r="D18" i="7"/>
  <c r="D17" i="7"/>
  <c r="D16" i="7"/>
  <c r="D13" i="7"/>
  <c r="D12" i="7"/>
  <c r="D10" i="7"/>
  <c r="D9" i="7"/>
  <c r="D8" i="7"/>
  <c r="D7" i="7"/>
  <c r="D6" i="7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N18" i="6"/>
  <c r="M18" i="6"/>
  <c r="L18" i="6"/>
  <c r="K18" i="6"/>
  <c r="J18" i="6"/>
  <c r="I18" i="6"/>
  <c r="H18" i="6"/>
  <c r="G18" i="6"/>
  <c r="F18" i="6"/>
  <c r="Q17" i="6"/>
  <c r="P17" i="6"/>
  <c r="O17" i="6"/>
  <c r="N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6" i="6"/>
  <c r="P6" i="6"/>
  <c r="O6" i="6"/>
  <c r="N6" i="6"/>
  <c r="M6" i="6"/>
  <c r="L6" i="6"/>
  <c r="K6" i="6"/>
  <c r="J6" i="6"/>
  <c r="D52" i="7" s="1"/>
  <c r="I6" i="6"/>
  <c r="H6" i="6"/>
  <c r="G6" i="6"/>
  <c r="F6" i="6"/>
  <c r="Q5" i="6"/>
  <c r="P5" i="6"/>
  <c r="O5" i="6"/>
  <c r="N5" i="6"/>
  <c r="M5" i="6"/>
  <c r="L5" i="6"/>
  <c r="K5" i="6"/>
  <c r="J5" i="6"/>
  <c r="I5" i="6"/>
  <c r="H5" i="6"/>
  <c r="G5" i="6"/>
  <c r="F5" i="6"/>
  <c r="Q4" i="6"/>
  <c r="P4" i="6"/>
  <c r="O4" i="6"/>
  <c r="N4" i="6"/>
  <c r="M4" i="6"/>
  <c r="L4" i="6"/>
  <c r="K4" i="6"/>
  <c r="J4" i="6"/>
  <c r="I4" i="6"/>
  <c r="H4" i="6"/>
  <c r="G4" i="6"/>
  <c r="F4" i="6"/>
  <c r="Q3" i="6"/>
  <c r="P3" i="6"/>
  <c r="O3" i="6"/>
  <c r="N3" i="6"/>
  <c r="M3" i="6"/>
  <c r="L3" i="6"/>
  <c r="K3" i="6"/>
  <c r="J3" i="6"/>
  <c r="I3" i="6"/>
  <c r="H3" i="6"/>
  <c r="G3" i="6"/>
  <c r="F3" i="6"/>
  <c r="Q2" i="6"/>
  <c r="P2" i="6"/>
  <c r="O2" i="6"/>
  <c r="N2" i="6"/>
  <c r="M2" i="6"/>
  <c r="L2" i="6"/>
  <c r="K2" i="6"/>
  <c r="J2" i="6"/>
  <c r="I2" i="6"/>
  <c r="H2" i="6"/>
  <c r="G2" i="6"/>
  <c r="F2" i="6"/>
  <c r="P21" i="5"/>
  <c r="M21" i="5"/>
  <c r="L21" i="5"/>
  <c r="K21" i="5"/>
  <c r="H21" i="5"/>
  <c r="I21" i="5" s="1"/>
  <c r="J21" i="5" s="1"/>
  <c r="G21" i="5"/>
  <c r="P20" i="5"/>
  <c r="M20" i="5"/>
  <c r="L20" i="5"/>
  <c r="K20" i="5"/>
  <c r="I20" i="5"/>
  <c r="J20" i="5" s="1"/>
  <c r="H20" i="5"/>
  <c r="G20" i="5"/>
  <c r="P19" i="5"/>
  <c r="M19" i="5"/>
  <c r="L19" i="5"/>
  <c r="K19" i="5"/>
  <c r="H19" i="5"/>
  <c r="I19" i="5" s="1"/>
  <c r="J19" i="5" s="1"/>
  <c r="O19" i="5" s="1"/>
  <c r="G19" i="5"/>
  <c r="P18" i="5"/>
  <c r="M18" i="5"/>
  <c r="L18" i="5"/>
  <c r="K18" i="5"/>
  <c r="I18" i="5"/>
  <c r="J18" i="5" s="1"/>
  <c r="H18" i="5"/>
  <c r="G18" i="5"/>
  <c r="P17" i="5"/>
  <c r="M17" i="5"/>
  <c r="L17" i="5"/>
  <c r="K17" i="5"/>
  <c r="H17" i="5"/>
  <c r="I17" i="5" s="1"/>
  <c r="J17" i="5" s="1"/>
  <c r="N17" i="5" s="1"/>
  <c r="G17" i="5"/>
  <c r="P16" i="5"/>
  <c r="M16" i="5"/>
  <c r="L16" i="5"/>
  <c r="K16" i="5"/>
  <c r="J16" i="5"/>
  <c r="O16" i="5" s="1"/>
  <c r="I16" i="5"/>
  <c r="H16" i="5"/>
  <c r="G16" i="5"/>
  <c r="P15" i="5"/>
  <c r="M15" i="5"/>
  <c r="L15" i="5"/>
  <c r="K15" i="5"/>
  <c r="H15" i="5"/>
  <c r="I15" i="5" s="1"/>
  <c r="J15" i="5" s="1"/>
  <c r="G15" i="5"/>
  <c r="P14" i="5"/>
  <c r="O14" i="5"/>
  <c r="N14" i="5"/>
  <c r="M14" i="5"/>
  <c r="L14" i="5"/>
  <c r="K14" i="5"/>
  <c r="H14" i="5"/>
  <c r="I14" i="5" s="1"/>
  <c r="J14" i="5" s="1"/>
  <c r="G14" i="5"/>
  <c r="P13" i="5"/>
  <c r="M13" i="5"/>
  <c r="L13" i="5"/>
  <c r="K13" i="5"/>
  <c r="H13" i="5"/>
  <c r="I13" i="5" s="1"/>
  <c r="J13" i="5" s="1"/>
  <c r="G13" i="5"/>
  <c r="P12" i="5"/>
  <c r="M12" i="5"/>
  <c r="L12" i="5"/>
  <c r="K12" i="5"/>
  <c r="I12" i="5"/>
  <c r="J12" i="5" s="1"/>
  <c r="H12" i="5"/>
  <c r="G12" i="5"/>
  <c r="P11" i="5"/>
  <c r="M11" i="5"/>
  <c r="L11" i="5"/>
  <c r="K11" i="5"/>
  <c r="H11" i="5"/>
  <c r="I11" i="5" s="1"/>
  <c r="J11" i="5" s="1"/>
  <c r="O11" i="5" s="1"/>
  <c r="G11" i="5"/>
  <c r="P10" i="5"/>
  <c r="M10" i="5"/>
  <c r="L10" i="5"/>
  <c r="K10" i="5"/>
  <c r="J10" i="5"/>
  <c r="I10" i="5"/>
  <c r="H10" i="5"/>
  <c r="G10" i="5"/>
  <c r="P9" i="5"/>
  <c r="M9" i="5"/>
  <c r="L9" i="5"/>
  <c r="K9" i="5"/>
  <c r="H9" i="5"/>
  <c r="I9" i="5" s="1"/>
  <c r="J9" i="5" s="1"/>
  <c r="N9" i="5" s="1"/>
  <c r="G9" i="5"/>
  <c r="P8" i="5"/>
  <c r="O8" i="5"/>
  <c r="N8" i="5"/>
  <c r="M8" i="5"/>
  <c r="L8" i="5"/>
  <c r="K8" i="5"/>
  <c r="J8" i="5"/>
  <c r="I8" i="5"/>
  <c r="H8" i="5"/>
  <c r="G8" i="5"/>
  <c r="P7" i="5"/>
  <c r="M7" i="5"/>
  <c r="L7" i="5"/>
  <c r="K7" i="5"/>
  <c r="H7" i="5"/>
  <c r="I7" i="5" s="1"/>
  <c r="J7" i="5" s="1"/>
  <c r="G7" i="5"/>
  <c r="P6" i="5"/>
  <c r="O6" i="5"/>
  <c r="N6" i="5"/>
  <c r="M6" i="5"/>
  <c r="L6" i="5"/>
  <c r="K6" i="5"/>
  <c r="H6" i="5"/>
  <c r="I6" i="5" s="1"/>
  <c r="J6" i="5" s="1"/>
  <c r="G6" i="5"/>
  <c r="P5" i="5"/>
  <c r="M5" i="5"/>
  <c r="L5" i="5"/>
  <c r="K5" i="5"/>
  <c r="H5" i="5"/>
  <c r="I5" i="5" s="1"/>
  <c r="J5" i="5" s="1"/>
  <c r="G5" i="5"/>
  <c r="P4" i="5"/>
  <c r="M4" i="5"/>
  <c r="L4" i="5"/>
  <c r="K4" i="5"/>
  <c r="H4" i="5"/>
  <c r="I4" i="5" s="1"/>
  <c r="J4" i="5" s="1"/>
  <c r="G4" i="5"/>
  <c r="P3" i="5"/>
  <c r="M3" i="5"/>
  <c r="L3" i="5"/>
  <c r="K3" i="5"/>
  <c r="H3" i="5"/>
  <c r="I3" i="5" s="1"/>
  <c r="J3" i="5" s="1"/>
  <c r="G3" i="5"/>
  <c r="P2" i="5"/>
  <c r="M2" i="5"/>
  <c r="L2" i="5"/>
  <c r="D21" i="7" s="1"/>
  <c r="K2" i="5"/>
  <c r="H2" i="5"/>
  <c r="I2" i="5" s="1"/>
  <c r="J2" i="5" s="1"/>
  <c r="G2" i="5"/>
  <c r="J21" i="4"/>
  <c r="H21" i="4"/>
  <c r="I21" i="4" s="1"/>
  <c r="G21" i="4"/>
  <c r="J20" i="4"/>
  <c r="H20" i="4"/>
  <c r="I20" i="4" s="1"/>
  <c r="G20" i="4"/>
  <c r="J19" i="4"/>
  <c r="I19" i="4"/>
  <c r="H19" i="4"/>
  <c r="G19" i="4"/>
  <c r="J18" i="4"/>
  <c r="I18" i="4"/>
  <c r="H18" i="4"/>
  <c r="G18" i="4"/>
  <c r="J17" i="4"/>
  <c r="I17" i="4"/>
  <c r="H17" i="4"/>
  <c r="G17" i="4"/>
  <c r="J16" i="4"/>
  <c r="H16" i="4"/>
  <c r="I16" i="4" s="1"/>
  <c r="G16" i="4"/>
  <c r="K16" i="4" s="1"/>
  <c r="J15" i="4"/>
  <c r="I15" i="4"/>
  <c r="H15" i="4"/>
  <c r="G15" i="4"/>
  <c r="J14" i="4"/>
  <c r="H14" i="4"/>
  <c r="I14" i="4" s="1"/>
  <c r="G14" i="4"/>
  <c r="J13" i="4"/>
  <c r="H13" i="4"/>
  <c r="I13" i="4" s="1"/>
  <c r="G13" i="4"/>
  <c r="J12" i="4"/>
  <c r="H12" i="4"/>
  <c r="I12" i="4" s="1"/>
  <c r="G12" i="4"/>
  <c r="J11" i="4"/>
  <c r="H11" i="4"/>
  <c r="I11" i="4" s="1"/>
  <c r="G11" i="4"/>
  <c r="J10" i="4"/>
  <c r="H10" i="4"/>
  <c r="I10" i="4" s="1"/>
  <c r="G10" i="4"/>
  <c r="J9" i="4"/>
  <c r="H9" i="4"/>
  <c r="I9" i="4" s="1"/>
  <c r="G9" i="4"/>
  <c r="K8" i="4"/>
  <c r="J8" i="4"/>
  <c r="H8" i="4"/>
  <c r="I8" i="4" s="1"/>
  <c r="G8" i="4"/>
  <c r="J7" i="4"/>
  <c r="H7" i="4"/>
  <c r="I7" i="4" s="1"/>
  <c r="G7" i="4"/>
  <c r="J6" i="4"/>
  <c r="H6" i="4"/>
  <c r="I6" i="4" s="1"/>
  <c r="G6" i="4"/>
  <c r="J5" i="4"/>
  <c r="H5" i="4"/>
  <c r="I5" i="4" s="1"/>
  <c r="G5" i="4"/>
  <c r="J4" i="4"/>
  <c r="H4" i="4"/>
  <c r="I4" i="4" s="1"/>
  <c r="G4" i="4"/>
  <c r="K19" i="4" s="1"/>
  <c r="J3" i="4"/>
  <c r="I3" i="4"/>
  <c r="H3" i="4"/>
  <c r="G3" i="4"/>
  <c r="J2" i="4"/>
  <c r="I2" i="4"/>
  <c r="H2" i="4"/>
  <c r="G2" i="4"/>
  <c r="D41" i="7"/>
  <c r="D42" i="7"/>
  <c r="D40" i="7"/>
  <c r="D55" i="7" l="1"/>
  <c r="O18" i="5"/>
  <c r="N18" i="5"/>
  <c r="N5" i="5"/>
  <c r="O5" i="5"/>
  <c r="N20" i="5"/>
  <c r="O20" i="5"/>
  <c r="O3" i="5"/>
  <c r="N3" i="5"/>
  <c r="K20" i="4"/>
  <c r="K4" i="4"/>
  <c r="K15" i="4"/>
  <c r="K3" i="4"/>
  <c r="K18" i="4"/>
  <c r="K2" i="4"/>
  <c r="K21" i="4"/>
  <c r="K5" i="4"/>
  <c r="K6" i="4"/>
  <c r="K9" i="4"/>
  <c r="O2" i="5"/>
  <c r="N2" i="5"/>
  <c r="O7" i="5"/>
  <c r="N7" i="5"/>
  <c r="O21" i="5"/>
  <c r="N21" i="5"/>
  <c r="N16" i="5"/>
  <c r="O15" i="5"/>
  <c r="N15" i="5"/>
  <c r="K12" i="4"/>
  <c r="O4" i="5"/>
  <c r="N4" i="5"/>
  <c r="K13" i="4"/>
  <c r="N13" i="5"/>
  <c r="O13" i="5"/>
  <c r="N19" i="5"/>
  <c r="K17" i="4"/>
  <c r="D11" i="7"/>
  <c r="N11" i="5"/>
  <c r="O9" i="5"/>
  <c r="K7" i="4"/>
  <c r="K11" i="4"/>
  <c r="O17" i="5"/>
  <c r="D54" i="7"/>
  <c r="K10" i="4"/>
  <c r="O12" i="5"/>
  <c r="N12" i="5"/>
  <c r="K14" i="4"/>
  <c r="O10" i="5"/>
  <c r="N10" i="5"/>
  <c r="D69" i="7" l="1"/>
  <c r="B69" i="7"/>
  <c r="C69" i="7"/>
  <c r="F68" i="7"/>
  <c r="F71" i="7"/>
  <c r="E68" i="7"/>
  <c r="E71" i="7"/>
  <c r="D68" i="7"/>
  <c r="D71" i="7"/>
  <c r="C68" i="7"/>
  <c r="C71" i="7"/>
  <c r="B68" i="7"/>
  <c r="B71" i="7"/>
  <c r="F70" i="7"/>
  <c r="D70" i="7"/>
  <c r="C70" i="7"/>
  <c r="B70" i="7"/>
  <c r="F69" i="7"/>
  <c r="E69" i="7"/>
  <c r="F67" i="7"/>
  <c r="E70" i="7"/>
  <c r="E67" i="7"/>
  <c r="D67" i="7"/>
  <c r="C67" i="7"/>
  <c r="B67" i="7"/>
</calcChain>
</file>

<file path=xl/sharedStrings.xml><?xml version="1.0" encoding="utf-8"?>
<sst xmlns="http://schemas.openxmlformats.org/spreadsheetml/2006/main" count="295" uniqueCount="216">
  <si>
    <t>Sales</t>
  </si>
  <si>
    <t>Employees</t>
  </si>
  <si>
    <t>Task</t>
  </si>
  <si>
    <t>Settings &amp; Assumptions (all formulas reference these cells with absolute references)</t>
  </si>
  <si>
    <t>Grade</t>
  </si>
  <si>
    <t>Min Average</t>
  </si>
  <si>
    <t>Note</t>
  </si>
  <si>
    <t>A+</t>
  </si>
  <si>
    <t>Average score at or above this → grade</t>
  </si>
  <si>
    <t>A</t>
  </si>
  <si>
    <t>B</t>
  </si>
  <si>
    <t>C</t>
  </si>
  <si>
    <t>D</t>
  </si>
  <si>
    <t>F</t>
  </si>
  <si>
    <t>&lt; D</t>
  </si>
  <si>
    <t>Below the D cut-off</t>
  </si>
  <si>
    <t>Grade filter cut-off (Average above)</t>
  </si>
  <si>
    <t>Used by FILTER: students with grade above 80</t>
  </si>
  <si>
    <t>Math &amp; Science cut-off (each above)</t>
  </si>
  <si>
    <t>Used by IF(AND(...))</t>
  </si>
  <si>
    <t>Discount Tier</t>
  </si>
  <si>
    <t>Min Sale Amount</t>
  </si>
  <si>
    <t>Discount %</t>
  </si>
  <si>
    <t>Tier 1</t>
  </si>
  <si>
    <t>Tier 2</t>
  </si>
  <si>
    <t>Tier 3</t>
  </si>
  <si>
    <t>Below lowest tier</t>
  </si>
  <si>
    <t>-</t>
  </si>
  <si>
    <t>Discount eligibility: min amount</t>
  </si>
  <si>
    <t>Eligible if Amount ≥ this OR Region = promo region</t>
  </si>
  <si>
    <t>Promo region (always eligible)</t>
  </si>
  <si>
    <t>West</t>
  </si>
  <si>
    <t>GST rate</t>
  </si>
  <si>
    <t>Assumption: 18% GST</t>
  </si>
  <si>
    <t>Rounding step – sales (₹)</t>
  </si>
  <si>
    <t>Significance for CEILING / FLOOR</t>
  </si>
  <si>
    <t>Rounding step – salary (₹)</t>
  </si>
  <si>
    <t>Product Price List (assumed – source sales data has no price column)</t>
  </si>
  <si>
    <t>Product Code</t>
  </si>
  <si>
    <t>Product</t>
  </si>
  <si>
    <t>Unit Price (₹)</t>
  </si>
  <si>
    <t>P-101</t>
  </si>
  <si>
    <t>Keyboard</t>
  </si>
  <si>
    <t>P-102</t>
  </si>
  <si>
    <t>Mouse</t>
  </si>
  <si>
    <t>P-103</t>
  </si>
  <si>
    <t>Printer</t>
  </si>
  <si>
    <t>P-104</t>
  </si>
  <si>
    <t>Monitor</t>
  </si>
  <si>
    <t>P-105</t>
  </si>
  <si>
    <t>Laptop</t>
  </si>
  <si>
    <t>Student ID</t>
  </si>
  <si>
    <t>Name</t>
  </si>
  <si>
    <t>Math</t>
  </si>
  <si>
    <t>Science</t>
  </si>
  <si>
    <t>English</t>
  </si>
  <si>
    <t>Enrollment Date</t>
  </si>
  <si>
    <t>Total</t>
  </si>
  <si>
    <t>Average</t>
  </si>
  <si>
    <t>Grade (Nested IF)</t>
  </si>
  <si>
    <t>Math &amp; Science &gt; 80 (IF-AND)</t>
  </si>
  <si>
    <t>Rank (unique)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</si>
  <si>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</si>
  <si>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</si>
  <si>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</si>
  <si>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</si>
  <si>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</si>
  <si>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</si>
  <si>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</si>
  <si>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</si>
  <si>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</si>
  <si>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</si>
  <si>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</si>
  <si>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</si>
  <si>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</si>
  <si>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</si>
  <si>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</si>
  <si>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</si>
  <si>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</si>
  <si>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</si>
  <si>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</si>
  <si>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</si>
  <si>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</si>
  <si>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Region</t>
  </si>
  <si>
    <t>Salesperson</t>
  </si>
  <si>
    <t>Amount</t>
  </si>
  <si>
    <t>Date</t>
  </si>
  <si>
    <t>Unit Price (VLOOKUP)</t>
  </si>
  <si>
    <t>Discount % (Nested IF)</t>
  </si>
  <si>
    <t>Discount Amount</t>
  </si>
  <si>
    <t>Net Amount</t>
  </si>
  <si>
    <t>Discount Eligible (IF-OR)</t>
  </si>
  <si>
    <t>Lookup Key</t>
  </si>
  <si>
    <t>Month</t>
  </si>
  <si>
    <t>Net Rounded Up (CEILING)</t>
  </si>
  <si>
    <t>Net Rounded Down (FLOOR)</t>
  </si>
  <si>
    <t>Rolling 3-Sale Avg (OFFSET)</t>
  </si>
  <si>
    <t>South</t>
  </si>
  <si>
    <t>Person 1</t>
  </si>
  <si>
    <t>Person 2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</si>
  <si>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</si>
  <si>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</si>
  <si>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</si>
  <si>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</si>
  <si>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</si>
  <si>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</si>
  <si>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</si>
  <si>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</si>
  <si>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</si>
  <si>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</si>
  <si>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</si>
  <si>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</si>
  <si>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</si>
  <si>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</si>
  <si>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</si>
  <si>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</si>
  <si>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</si>
  <si>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</si>
  <si>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</si>
  <si>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</si>
  <si>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</si>
  <si>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</si>
  <si>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</si>
  <si>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</si>
  <si>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Join Year</t>
  </si>
  <si>
    <t>Join Month</t>
  </si>
  <si>
    <t>Join Weekday</t>
  </si>
  <si>
    <t>Status</t>
  </si>
  <si>
    <t>Tenure (Years)</t>
  </si>
  <si>
    <t>Tenure (Days)</t>
  </si>
  <si>
    <t>First Name (LEFT+FIND)</t>
  </si>
  <si>
    <t>UPPER</t>
  </si>
  <si>
    <t>lower</t>
  </si>
  <si>
    <t>Monthly Salary (ROUND)</t>
  </si>
  <si>
    <t>Salary Rounded Up (CEILING)</t>
  </si>
  <si>
    <t>Salary Rounded Down (FLOOR)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</si>
  <si>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</si>
  <si>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</si>
  <si>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</si>
  <si>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</si>
  <si>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</si>
  <si>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</si>
  <si>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</si>
  <si>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</si>
  <si>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</si>
  <si>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</si>
  <si>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</si>
  <si>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</si>
  <si>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</si>
  <si>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</si>
  <si>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</si>
  <si>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</si>
  <si>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</si>
  <si>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</si>
  <si>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</si>
  <si>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</si>
  <si>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</si>
  <si>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</si>
  <si>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</si>
  <si>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</si>
  <si>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Formula Analysis – COUNTIFS, SUMIFS, Lookups, Dates, Math, FILTER</t>
  </si>
  <si>
    <t>Input 1</t>
  </si>
  <si>
    <t>Input 2</t>
  </si>
  <si>
    <t>Result</t>
  </si>
  <si>
    <t>1. COUNTIFS / SUMIFS / AVERAGEIFS</t>
  </si>
  <si>
    <t>Students scoring ABOVE [Input 1] in Math</t>
  </si>
  <si>
    <t>Students scoring ABOVE [Input 1] in ALL 3 subjects</t>
  </si>
  <si>
    <t>Students scoring ABOVE [Input 1] in Math (essential task)</t>
  </si>
  <si>
    <t>Total sales: Region [Input 1] &amp; Product [Input 2]</t>
  </si>
  <si>
    <t>Avg Math score of students scoring ABOVE [Input 1]</t>
  </si>
  <si>
    <t>Avg of overall Average for students whose Average &gt; [Input 1]</t>
  </si>
  <si>
    <t>Employees in Dept [Input 1] with salary above [Input 2]</t>
  </si>
  <si>
    <t>Average salary of Dept [Input 1]</t>
  </si>
  <si>
    <t>2. VLOOKUP</t>
  </si>
  <si>
    <t>Student name for Student ID [Input 1]</t>
  </si>
  <si>
    <t>Product price for Product Code [Input 1]</t>
  </si>
  <si>
    <t>Product price for Product [Input 1] (sales data)</t>
  </si>
  <si>
    <t>3. INDEX &amp; MATCH</t>
  </si>
  <si>
    <t>Sales value: Salesperson [Input 1] in month of [Input 2]</t>
  </si>
  <si>
    <t>Employee ID for details below</t>
  </si>
  <si>
    <t>Employee detail – field [Input 1]</t>
  </si>
  <si>
    <t>4. XLOOKUP</t>
  </si>
  <si>
    <t>Sales amount for Salesperson [Input 1]</t>
  </si>
  <si>
    <t>Region for Sales ID [Input 1]</t>
  </si>
  <si>
    <t>Salary for Employee ID [Input 1]</t>
  </si>
  <si>
    <t>Salary for Employee name [Input 1]</t>
  </si>
  <si>
    <t>Salary for Employee ID [Input 1] (not in list)</t>
  </si>
  <si>
    <t>5. XMATCH</t>
  </si>
  <si>
    <t>Position of first [Input 1] in the sales list</t>
  </si>
  <si>
    <t>Position of LAST [Input 1] in the sales list</t>
  </si>
  <si>
    <t>6. INDIRECT</t>
  </si>
  <si>
    <t>SUM of column [Input 2] on sheet [Input 1]</t>
  </si>
  <si>
    <t>E</t>
  </si>
  <si>
    <t>AVERAGE of column [Input 2] on sheet [Input 1]</t>
  </si>
  <si>
    <t>Student name at sheet row [Input 1]</t>
  </si>
  <si>
    <t>7. OFFSET (dynamic ranges for sales trend)</t>
  </si>
  <si>
    <t>Sum of the latest [Input 1] sales</t>
  </si>
  <si>
    <t>Avg of [Input 2] sales starting at sale # [Input 1]</t>
  </si>
  <si>
    <t>8. Date &amp; Time functions</t>
  </si>
  <si>
    <t>Age (years) from Date of Birth [Input 1] (example DOB)</t>
  </si>
  <si>
    <t>Days between [Input 1] and [Input 2]</t>
  </si>
  <si>
    <t>Working days between the same dates</t>
  </si>
  <si>
    <t>Tenure (years) of Employee ID [Input 1]</t>
  </si>
  <si>
    <t>Employees who joined in year [Input 1]</t>
  </si>
  <si>
    <t>Average tenure (years) of Active employees</t>
  </si>
  <si>
    <t>Employees with a FUTURE joining date</t>
  </si>
  <si>
    <t>9. Math functions (ROUND / CEILING / FLOOR)</t>
  </si>
  <si>
    <t>Amount to round [Input 1] – ROUND to 2 decimals</t>
  </si>
  <si>
    <t>ROUND to nearest 10 (negative digits)</t>
  </si>
  <si>
    <t>CEILING to rounding step (Settings!B24)</t>
  </si>
  <si>
    <t>FLOOR to rounding step (Settings!B24)</t>
  </si>
  <si>
    <t>GST amount at Settings!B23</t>
  </si>
  <si>
    <t>Total incl. GST</t>
  </si>
  <si>
    <t>10. Top 5 students by Total (INDEX/MATCH on Rank – works in every Excel version)</t>
  </si>
  <si>
    <t>Rank</t>
  </si>
  <si>
    <t>Math &amp; Sci &gt;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</si>
</sst>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₹&quot;#,##0"/>
    <numFmt numFmtId="165" formatCode="dd\-mmm\-yyyy"/>
    <numFmt numFmtId="166" formatCode="mmm\-yyyy"/>
    <numFmt numFmtId="167" formatCode="0.0"/>
    <numFmt numFmtId="168" formatCode="#,##0.000"/>
    <numFmt numFmtId="169" formatCode="&quot;₹&quot;#,##0.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6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3" fillId="3" borderId="1" xfId="0" applyNumberFormat="1" applyFont="1" applyFill="1" applyBorder="1"/>
    <xf numFmtId="9" fontId="3" fillId="3" borderId="1" xfId="0" applyNumberFormat="1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65" fontId="3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164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horizontal="center"/>
    </xf>
    <xf numFmtId="0" fontId="6" fillId="0" borderId="1" xfId="0" applyFont="1" applyBorder="1"/>
    <xf numFmtId="164" fontId="5" fillId="5" borderId="1" xfId="0" applyNumberFormat="1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6" fontId="3" fillId="3" borderId="1" xfId="0" applyNumberFormat="1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67" fontId="5" fillId="5" borderId="1" xfId="0" applyNumberFormat="1" applyFont="1" applyFill="1" applyBorder="1" applyAlignment="1">
      <alignment horizontal="center"/>
    </xf>
    <xf numFmtId="168" fontId="3" fillId="3" borderId="1" xfId="0" applyNumberFormat="1" applyFont="1" applyFill="1" applyBorder="1" applyAlignment="1">
      <alignment horizontal="center"/>
    </xf>
    <xf numFmtId="169" fontId="5" fillId="5" borderId="1" xfId="0" applyNumberFormat="1" applyFont="1" applyFill="1" applyBorder="1" applyAlignment="1">
      <alignment horizontal="center"/>
    </xf>
    <xf numFmtId="168" fontId="4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5">
    <dxf>
      <font>
        <b/>
        <color rgb="FF9C5700"/>
        <name val="Arial"/>
      </font>
    </dxf>
    <dxf>
      <font>
        <b/>
        <color rgb="FF006100"/>
        <name val="Arial"/>
      </font>
      <fill>
        <patternFill patternType="solid">
          <fgColor rgb="FFE2EFDA"/>
        </patternFill>
      </fill>
    </dxf>
    <dxf>
      <font>
        <b/>
        <color rgb="FF006100"/>
        <name val="Arial"/>
      </font>
    </dxf>
    <dxf>
      <font>
        <b/>
        <color rgb="FF006100"/>
        <name val="Arial"/>
      </font>
      <fill>
        <patternFill patternType="solid">
          <fgColor rgb="FFE2EFDA"/>
        </patternFill>
      </fill>
    </dxf>
    <dxf>
      <font>
        <b/>
        <color rgb="FFC00000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showGridLines="0" workbookViewId="0">
      <selection activeCell="A12" sqref="A12"/>
    </sheetView>
  </sheetViews>
  <sheetFormatPr defaultRowHeight="14.4" x14ac:dyDescent="0.3"/>
  <cols>
    <col min="1" max="1" width="38" customWidth="1"/>
    <col min="2" max="2" width="18" customWidth="1"/>
    <col min="3" max="3" width="52" customWidth="1"/>
  </cols>
  <sheetData>
    <row r="1" spans="1:3" ht="17.399999999999999" x14ac:dyDescent="0.3">
      <c r="A1" s="1" t="s">
        <v>3</v>
      </c>
    </row>
    <row r="3" spans="1:3" ht="30" customHeight="1" x14ac:dyDescent="0.3">
      <c r="A3" s="3" t="s">
        <v>4</v>
      </c>
      <c r="B3" s="3" t="s">
        <v>5</v>
      </c>
      <c r="C3" s="3" t="s">
        <v>6</v>
      </c>
    </row>
    <row r="4" spans="1:3" x14ac:dyDescent="0.3">
      <c r="A4" s="6" t="s">
        <v>7</v>
      </c>
      <c r="B4" s="7">
        <v>90</v>
      </c>
      <c r="C4" s="5" t="s">
        <v>8</v>
      </c>
    </row>
    <row r="5" spans="1:3" x14ac:dyDescent="0.3">
      <c r="A5" s="6" t="s">
        <v>9</v>
      </c>
      <c r="B5" s="7">
        <v>80</v>
      </c>
      <c r="C5" s="5"/>
    </row>
    <row r="6" spans="1:3" x14ac:dyDescent="0.3">
      <c r="A6" s="6" t="s">
        <v>10</v>
      </c>
      <c r="B6" s="7">
        <v>70</v>
      </c>
      <c r="C6" s="5"/>
    </row>
    <row r="7" spans="1:3" x14ac:dyDescent="0.3">
      <c r="A7" s="6" t="s">
        <v>11</v>
      </c>
      <c r="B7" s="7">
        <v>60</v>
      </c>
      <c r="C7" s="5"/>
    </row>
    <row r="8" spans="1:3" x14ac:dyDescent="0.3">
      <c r="A8" s="6" t="s">
        <v>12</v>
      </c>
      <c r="B8" s="7">
        <v>50</v>
      </c>
      <c r="C8" s="5"/>
    </row>
    <row r="9" spans="1:3" x14ac:dyDescent="0.3">
      <c r="A9" s="6" t="s">
        <v>13</v>
      </c>
      <c r="B9" s="8" t="s">
        <v>14</v>
      </c>
      <c r="C9" s="5" t="s">
        <v>15</v>
      </c>
    </row>
    <row r="11" spans="1:3" x14ac:dyDescent="0.3">
      <c r="A11" s="4" t="s">
        <v>16</v>
      </c>
      <c r="B11" s="7">
        <v>80</v>
      </c>
      <c r="C11" s="5" t="s">
        <v>17</v>
      </c>
    </row>
    <row r="12" spans="1:3" x14ac:dyDescent="0.3">
      <c r="A12" s="4" t="s">
        <v>18</v>
      </c>
      <c r="B12" s="7">
        <v>80</v>
      </c>
      <c r="C12" s="5" t="s">
        <v>19</v>
      </c>
    </row>
    <row r="14" spans="1:3" ht="30" customHeight="1" x14ac:dyDescent="0.3">
      <c r="A14" s="3" t="s">
        <v>20</v>
      </c>
      <c r="B14" s="3" t="s">
        <v>21</v>
      </c>
      <c r="C14" s="3" t="s">
        <v>22</v>
      </c>
    </row>
    <row r="15" spans="1:3" x14ac:dyDescent="0.3">
      <c r="A15" s="4" t="s">
        <v>23</v>
      </c>
      <c r="B15" s="9">
        <v>40000</v>
      </c>
      <c r="C15" s="10">
        <v>0.15</v>
      </c>
    </row>
    <row r="16" spans="1:3" x14ac:dyDescent="0.3">
      <c r="A16" s="4" t="s">
        <v>24</v>
      </c>
      <c r="B16" s="9">
        <v>25000</v>
      </c>
      <c r="C16" s="10">
        <v>0.1</v>
      </c>
    </row>
    <row r="17" spans="1:3" x14ac:dyDescent="0.3">
      <c r="A17" s="4" t="s">
        <v>25</v>
      </c>
      <c r="B17" s="9">
        <v>10000</v>
      </c>
      <c r="C17" s="10">
        <v>0.05</v>
      </c>
    </row>
    <row r="18" spans="1:3" x14ac:dyDescent="0.3">
      <c r="A18" s="4" t="s">
        <v>26</v>
      </c>
      <c r="B18" s="8" t="s">
        <v>27</v>
      </c>
      <c r="C18" s="11">
        <v>0</v>
      </c>
    </row>
    <row r="20" spans="1:3" x14ac:dyDescent="0.3">
      <c r="A20" s="4" t="s">
        <v>28</v>
      </c>
      <c r="B20" s="9">
        <v>25000</v>
      </c>
      <c r="C20" s="5" t="s">
        <v>29</v>
      </c>
    </row>
    <row r="21" spans="1:3" x14ac:dyDescent="0.3">
      <c r="A21" s="4" t="s">
        <v>30</v>
      </c>
      <c r="B21" s="7" t="s">
        <v>31</v>
      </c>
    </row>
    <row r="23" spans="1:3" x14ac:dyDescent="0.3">
      <c r="A23" s="4" t="s">
        <v>32</v>
      </c>
      <c r="B23" s="10">
        <v>0.18</v>
      </c>
      <c r="C23" s="5" t="s">
        <v>33</v>
      </c>
    </row>
    <row r="24" spans="1:3" x14ac:dyDescent="0.3">
      <c r="A24" s="4" t="s">
        <v>34</v>
      </c>
      <c r="B24" s="7">
        <v>10</v>
      </c>
      <c r="C24" s="5" t="s">
        <v>35</v>
      </c>
    </row>
    <row r="25" spans="1:3" x14ac:dyDescent="0.3">
      <c r="A25" s="4" t="s">
        <v>36</v>
      </c>
      <c r="B25" s="7">
        <v>1000</v>
      </c>
      <c r="C25" s="5" t="s">
        <v>35</v>
      </c>
    </row>
    <row r="27" spans="1:3" x14ac:dyDescent="0.3">
      <c r="A2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showGridLines="0" workbookViewId="0">
      <selection activeCell="A10" sqref="A10"/>
    </sheetView>
  </sheetViews>
  <sheetFormatPr defaultRowHeight="14.4" x14ac:dyDescent="0.3"/>
  <cols>
    <col min="1" max="3" width="16" customWidth="1"/>
  </cols>
  <sheetData>
    <row r="1" spans="1:3" ht="17.399999999999999" x14ac:dyDescent="0.3">
      <c r="A1" s="1" t="s">
        <v>37</v>
      </c>
    </row>
    <row r="3" spans="1:3" ht="30" customHeight="1" x14ac:dyDescent="0.3">
      <c r="A3" s="3" t="s">
        <v>38</v>
      </c>
      <c r="B3" s="3" t="s">
        <v>39</v>
      </c>
      <c r="C3" s="3" t="s">
        <v>40</v>
      </c>
    </row>
    <row r="4" spans="1:3" x14ac:dyDescent="0.3">
      <c r="A4" s="6" t="s">
        <v>41</v>
      </c>
      <c r="B4" s="12" t="s">
        <v>42</v>
      </c>
      <c r="C4" s="9">
        <v>1500</v>
      </c>
    </row>
    <row r="5" spans="1:3" x14ac:dyDescent="0.3">
      <c r="A5" s="6" t="s">
        <v>43</v>
      </c>
      <c r="B5" s="12" t="s">
        <v>44</v>
      </c>
      <c r="C5" s="9">
        <v>800</v>
      </c>
    </row>
    <row r="6" spans="1:3" x14ac:dyDescent="0.3">
      <c r="A6" s="6" t="s">
        <v>45</v>
      </c>
      <c r="B6" s="12" t="s">
        <v>46</v>
      </c>
      <c r="C6" s="9">
        <v>8000</v>
      </c>
    </row>
    <row r="7" spans="1:3" x14ac:dyDescent="0.3">
      <c r="A7" s="6" t="s">
        <v>47</v>
      </c>
      <c r="B7" s="12" t="s">
        <v>48</v>
      </c>
      <c r="C7" s="9">
        <v>12000</v>
      </c>
    </row>
    <row r="8" spans="1:3" x14ac:dyDescent="0.3">
      <c r="A8" s="6" t="s">
        <v>49</v>
      </c>
      <c r="B8" s="12" t="s">
        <v>50</v>
      </c>
      <c r="C8" s="9">
        <v>45000</v>
      </c>
    </row>
    <row r="10" spans="1:3" x14ac:dyDescent="0.3">
      <c r="A1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13" customWidth="1"/>
    <col min="3" max="5" width="9" customWidth="1"/>
    <col min="6" max="6" width="16" customWidth="1"/>
    <col min="7" max="7" width="9" customWidth="1"/>
    <col min="8" max="8" width="10" customWidth="1"/>
    <col min="9" max="9" width="13" customWidth="1"/>
    <col min="10" max="10" width="17" customWidth="1"/>
    <col min="11" max="11" width="10" customWidth="1"/>
  </cols>
  <sheetData>
    <row r="1" spans="1:11" ht="30" customHeight="1" x14ac:dyDescent="0.3">
      <c r="A1" s="3" t="s">
        <v>51</v>
      </c>
      <c r="B1" s="3" t="s">
        <v>52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  <c r="J1" s="3" t="s">
        <v>60</v>
      </c>
      <c r="K1" s="3" t="s">
        <v>61</v>
      </c>
    </row>
    <row r="2" spans="1:11" x14ac:dyDescent="0.3">
      <c r="A2" s="6">
        <v>1001</v>
      </c>
      <c r="B2" s="12" t="s">
        <v>62</v>
      </c>
      <c r="C2" s="6">
        <v>61</v>
      </c>
      <c r="D2" s="6">
        <v>48</v>
      </c>
      <c r="E2" s="6">
        <v>76</v>
      </c>
      <c r="F2" s="13">
        <v>43101</v>
      </c>
      <c r="G2" s="8">
        <f t="shared" ref="G2:G21" si="0">SUM(C2:E2)</f>
        <v>185</v>
      </c>
      <c r="H2" s="14">
        <f t="shared" ref="H2:H21" si="1">ROUND(AVERAGE(C2:E2),2)</f>
        <v>61.67</v>
      </c>
      <c r="I2" s="8" t="str">
        <f>IF(H2&gt;=Settings!$B$4,Settings!$A$4,IF(H2&gt;=Settings!$B$5,Settings!$A$5,IF(H2&gt;=Settings!$B$6,Settings!$A$6,IF(H2&gt;=Settings!$B$7,Settings!$A$7,IF(H2&gt;=Settings!$B$8,Settings!$A$8,Settings!$A$9)))))</f>
        <v>C</v>
      </c>
      <c r="J2" s="8" t="str">
        <f>IF(AND(C2&gt;Settings!$B$12,D2&gt;Settings!$B$12),"Yes","No")</f>
        <v>No</v>
      </c>
      <c r="K2" s="8">
        <f>RANK(G2,$G$2:$G$21,0)+COUNTIF($G$2:G2,G2)-1</f>
        <v>16</v>
      </c>
    </row>
    <row r="3" spans="1:11" x14ac:dyDescent="0.3">
      <c r="A3" s="6">
        <v>1002</v>
      </c>
      <c r="B3" s="12" t="s">
        <v>63</v>
      </c>
      <c r="C3" s="6">
        <v>78</v>
      </c>
      <c r="D3" s="6">
        <v>76</v>
      </c>
      <c r="E3" s="6">
        <v>70</v>
      </c>
      <c r="F3" s="13">
        <v>43281</v>
      </c>
      <c r="G3" s="8">
        <f t="shared" si="0"/>
        <v>224</v>
      </c>
      <c r="H3" s="14">
        <f t="shared" si="1"/>
        <v>74.67</v>
      </c>
      <c r="I3" s="8" t="str">
        <f>IF(H3&gt;=Settings!$B$4,Settings!$A$4,IF(H3&gt;=Settings!$B$5,Settings!$A$5,IF(H3&gt;=Settings!$B$6,Settings!$A$6,IF(H3&gt;=Settings!$B$7,Settings!$A$7,IF(H3&gt;=Settings!$B$8,Settings!$A$8,Settings!$A$9)))))</f>
        <v>B</v>
      </c>
      <c r="J3" s="8" t="str">
        <f>IF(AND(C3&gt;Settings!$B$12,D3&gt;Settings!$B$12),"Yes","No")</f>
        <v>No</v>
      </c>
      <c r="K3" s="8">
        <f>RANK(G3,$G$2:$G$21,0)+COUNTIF($G$2:G3,G3)-1</f>
        <v>8</v>
      </c>
    </row>
    <row r="4" spans="1:11" x14ac:dyDescent="0.3">
      <c r="A4" s="6">
        <v>1003</v>
      </c>
      <c r="B4" s="12" t="s">
        <v>64</v>
      </c>
      <c r="C4" s="6">
        <v>97</v>
      </c>
      <c r="D4" s="6">
        <v>60</v>
      </c>
      <c r="E4" s="6">
        <v>51</v>
      </c>
      <c r="F4" s="13">
        <v>43461</v>
      </c>
      <c r="G4" s="8">
        <f t="shared" si="0"/>
        <v>208</v>
      </c>
      <c r="H4" s="14">
        <f t="shared" si="1"/>
        <v>69.33</v>
      </c>
      <c r="I4" s="8" t="str">
        <f>IF(H4&gt;=Settings!$B$4,Settings!$A$4,IF(H4&gt;=Settings!$B$5,Settings!$A$5,IF(H4&gt;=Settings!$B$6,Settings!$A$6,IF(H4&gt;=Settings!$B$7,Settings!$A$7,IF(H4&gt;=Settings!$B$8,Settings!$A$8,Settings!$A$9)))))</f>
        <v>C</v>
      </c>
      <c r="J4" s="8" t="str">
        <f>IF(AND(C4&gt;Settings!$B$12,D4&gt;Settings!$B$12),"Yes","No")</f>
        <v>No</v>
      </c>
      <c r="K4" s="8">
        <f>RANK(G4,$G$2:$G$21,0)+COUNTIF($G$2:G4,G4)-1</f>
        <v>12</v>
      </c>
    </row>
    <row r="5" spans="1:11" x14ac:dyDescent="0.3">
      <c r="A5" s="6">
        <v>1004</v>
      </c>
      <c r="B5" s="12" t="s">
        <v>65</v>
      </c>
      <c r="C5" s="6">
        <v>74</v>
      </c>
      <c r="D5" s="6">
        <v>55</v>
      </c>
      <c r="E5" s="6">
        <v>46</v>
      </c>
      <c r="F5" s="13">
        <v>43641</v>
      </c>
      <c r="G5" s="8">
        <f t="shared" si="0"/>
        <v>175</v>
      </c>
      <c r="H5" s="14">
        <f t="shared" si="1"/>
        <v>58.33</v>
      </c>
      <c r="I5" s="8" t="str">
        <f>IF(H5&gt;=Settings!$B$4,Settings!$A$4,IF(H5&gt;=Settings!$B$5,Settings!$A$5,IF(H5&gt;=Settings!$B$6,Settings!$A$6,IF(H5&gt;=Settings!$B$7,Settings!$A$7,IF(H5&gt;=Settings!$B$8,Settings!$A$8,Settings!$A$9)))))</f>
        <v>D</v>
      </c>
      <c r="J5" s="8" t="str">
        <f>IF(AND(C5&gt;Settings!$B$12,D5&gt;Settings!$B$12),"Yes","No")</f>
        <v>No</v>
      </c>
      <c r="K5" s="8">
        <f>RANK(G5,$G$2:$G$21,0)+COUNTIF($G$2:G5,G5)-1</f>
        <v>18</v>
      </c>
    </row>
    <row r="6" spans="1:11" x14ac:dyDescent="0.3">
      <c r="A6" s="6">
        <v>1005</v>
      </c>
      <c r="B6" s="12" t="s">
        <v>66</v>
      </c>
      <c r="C6" s="6">
        <v>68</v>
      </c>
      <c r="D6" s="6">
        <v>74</v>
      </c>
      <c r="E6" s="6">
        <v>84</v>
      </c>
      <c r="F6" s="13">
        <v>43821</v>
      </c>
      <c r="G6" s="8">
        <f t="shared" si="0"/>
        <v>226</v>
      </c>
      <c r="H6" s="14">
        <f t="shared" si="1"/>
        <v>75.33</v>
      </c>
      <c r="I6" s="8" t="str">
        <f>IF(H6&gt;=Settings!$B$4,Settings!$A$4,IF(H6&gt;=Settings!$B$5,Settings!$A$5,IF(H6&gt;=Settings!$B$6,Settings!$A$6,IF(H6&gt;=Settings!$B$7,Settings!$A$7,IF(H6&gt;=Settings!$B$8,Settings!$A$8,Settings!$A$9)))))</f>
        <v>B</v>
      </c>
      <c r="J6" s="8" t="str">
        <f>IF(AND(C6&gt;Settings!$B$12,D6&gt;Settings!$B$12),"Yes","No")</f>
        <v>No</v>
      </c>
      <c r="K6" s="8">
        <f>RANK(G6,$G$2:$G$21,0)+COUNTIF($G$2:G6,G6)-1</f>
        <v>6</v>
      </c>
    </row>
    <row r="7" spans="1:11" x14ac:dyDescent="0.3">
      <c r="A7" s="6">
        <v>1006</v>
      </c>
      <c r="B7" s="12" t="s">
        <v>67</v>
      </c>
      <c r="C7" s="6">
        <v>80</v>
      </c>
      <c r="D7" s="6">
        <v>70</v>
      </c>
      <c r="E7" s="6">
        <v>65</v>
      </c>
      <c r="F7" s="13">
        <v>44001</v>
      </c>
      <c r="G7" s="8">
        <f t="shared" si="0"/>
        <v>215</v>
      </c>
      <c r="H7" s="14">
        <f t="shared" si="1"/>
        <v>71.67</v>
      </c>
      <c r="I7" s="8" t="str">
        <f>IF(H7&gt;=Settings!$B$4,Settings!$A$4,IF(H7&gt;=Settings!$B$5,Settings!$A$5,IF(H7&gt;=Settings!$B$6,Settings!$A$6,IF(H7&gt;=Settings!$B$7,Settings!$A$7,IF(H7&gt;=Settings!$B$8,Settings!$A$8,Settings!$A$9)))))</f>
        <v>B</v>
      </c>
      <c r="J7" s="8" t="str">
        <f>IF(AND(C7&gt;Settings!$B$12,D7&gt;Settings!$B$12),"Yes","No")</f>
        <v>No</v>
      </c>
      <c r="K7" s="8">
        <f>RANK(G7,$G$2:$G$21,0)+COUNTIF($G$2:G7,G7)-1</f>
        <v>9</v>
      </c>
    </row>
    <row r="8" spans="1:11" x14ac:dyDescent="0.3">
      <c r="A8" s="6">
        <v>1007</v>
      </c>
      <c r="B8" s="12" t="s">
        <v>68</v>
      </c>
      <c r="C8" s="6">
        <v>75</v>
      </c>
      <c r="D8" s="6">
        <v>47</v>
      </c>
      <c r="E8" s="6">
        <v>78</v>
      </c>
      <c r="F8" s="13">
        <v>44181</v>
      </c>
      <c r="G8" s="8">
        <f t="shared" si="0"/>
        <v>200</v>
      </c>
      <c r="H8" s="14">
        <f t="shared" si="1"/>
        <v>66.67</v>
      </c>
      <c r="I8" s="8" t="str">
        <f>IF(H8&gt;=Settings!$B$4,Settings!$A$4,IF(H8&gt;=Settings!$B$5,Settings!$A$5,IF(H8&gt;=Settings!$B$6,Settings!$A$6,IF(H8&gt;=Settings!$B$7,Settings!$A$7,IF(H8&gt;=Settings!$B$8,Settings!$A$8,Settings!$A$9)))))</f>
        <v>C</v>
      </c>
      <c r="J8" s="8" t="str">
        <f>IF(AND(C8&gt;Settings!$B$12,D8&gt;Settings!$B$12),"Yes","No")</f>
        <v>No</v>
      </c>
      <c r="K8" s="8">
        <f>RANK(G8,$G$2:$G$21,0)+COUNTIF($G$2:G8,G8)-1</f>
        <v>14</v>
      </c>
    </row>
    <row r="9" spans="1:11" x14ac:dyDescent="0.3">
      <c r="A9" s="6">
        <v>1008</v>
      </c>
      <c r="B9" s="12" t="s">
        <v>69</v>
      </c>
      <c r="C9" s="6">
        <v>94</v>
      </c>
      <c r="D9" s="6">
        <v>67</v>
      </c>
      <c r="E9" s="6">
        <v>64</v>
      </c>
      <c r="F9" s="13">
        <v>44361</v>
      </c>
      <c r="G9" s="8">
        <f t="shared" si="0"/>
        <v>225</v>
      </c>
      <c r="H9" s="14">
        <f t="shared" si="1"/>
        <v>75</v>
      </c>
      <c r="I9" s="8" t="str">
        <f>IF(H9&gt;=Settings!$B$4,Settings!$A$4,IF(H9&gt;=Settings!$B$5,Settings!$A$5,IF(H9&gt;=Settings!$B$6,Settings!$A$6,IF(H9&gt;=Settings!$B$7,Settings!$A$7,IF(H9&gt;=Settings!$B$8,Settings!$A$8,Settings!$A$9)))))</f>
        <v>B</v>
      </c>
      <c r="J9" s="8" t="str">
        <f>IF(AND(C9&gt;Settings!$B$12,D9&gt;Settings!$B$12),"Yes","No")</f>
        <v>No</v>
      </c>
      <c r="K9" s="8">
        <f>RANK(G9,$G$2:$G$21,0)+COUNTIF($G$2:G9,G9)-1</f>
        <v>7</v>
      </c>
    </row>
    <row r="10" spans="1:11" x14ac:dyDescent="0.3">
      <c r="A10" s="6">
        <v>1009</v>
      </c>
      <c r="B10" s="12" t="s">
        <v>70</v>
      </c>
      <c r="C10" s="6">
        <v>41</v>
      </c>
      <c r="D10" s="6">
        <v>75</v>
      </c>
      <c r="E10" s="6">
        <v>56</v>
      </c>
      <c r="F10" s="13">
        <v>44541</v>
      </c>
      <c r="G10" s="8">
        <f t="shared" si="0"/>
        <v>172</v>
      </c>
      <c r="H10" s="14">
        <f t="shared" si="1"/>
        <v>57.33</v>
      </c>
      <c r="I10" s="8" t="str">
        <f>IF(H10&gt;=Settings!$B$4,Settings!$A$4,IF(H10&gt;=Settings!$B$5,Settings!$A$5,IF(H10&gt;=Settings!$B$6,Settings!$A$6,IF(H10&gt;=Settings!$B$7,Settings!$A$7,IF(H10&gt;=Settings!$B$8,Settings!$A$8,Settings!$A$9)))))</f>
        <v>D</v>
      </c>
      <c r="J10" s="8" t="str">
        <f>IF(AND(C10&gt;Settings!$B$12,D10&gt;Settings!$B$12),"Yes","No")</f>
        <v>No</v>
      </c>
      <c r="K10" s="8">
        <f>RANK(G10,$G$2:$G$21,0)+COUNTIF($G$2:G10,G10)-1</f>
        <v>19</v>
      </c>
    </row>
    <row r="11" spans="1:11" x14ac:dyDescent="0.3">
      <c r="A11" s="6">
        <v>1010</v>
      </c>
      <c r="B11" s="12" t="s">
        <v>71</v>
      </c>
      <c r="C11" s="6">
        <v>98</v>
      </c>
      <c r="D11" s="6">
        <v>54</v>
      </c>
      <c r="E11" s="6">
        <v>58</v>
      </c>
      <c r="F11" s="13">
        <v>44721</v>
      </c>
      <c r="G11" s="8">
        <f t="shared" si="0"/>
        <v>210</v>
      </c>
      <c r="H11" s="14">
        <f t="shared" si="1"/>
        <v>70</v>
      </c>
      <c r="I11" s="8" t="str">
        <f>IF(H11&gt;=Settings!$B$4,Settings!$A$4,IF(H11&gt;=Settings!$B$5,Settings!$A$5,IF(H11&gt;=Settings!$B$6,Settings!$A$6,IF(H11&gt;=Settings!$B$7,Settings!$A$7,IF(H11&gt;=Settings!$B$8,Settings!$A$8,Settings!$A$9)))))</f>
        <v>B</v>
      </c>
      <c r="J11" s="8" t="str">
        <f>IF(AND(C11&gt;Settings!$B$12,D11&gt;Settings!$B$12),"Yes","No")</f>
        <v>No</v>
      </c>
      <c r="K11" s="8">
        <f>RANK(G11,$G$2:$G$21,0)+COUNTIF($G$2:G11,G11)-1</f>
        <v>10</v>
      </c>
    </row>
    <row r="12" spans="1:11" x14ac:dyDescent="0.3">
      <c r="A12" s="6">
        <v>1011</v>
      </c>
      <c r="B12" s="12" t="s">
        <v>72</v>
      </c>
      <c r="C12" s="6">
        <v>73</v>
      </c>
      <c r="D12" s="6">
        <v>79</v>
      </c>
      <c r="E12" s="6">
        <v>53</v>
      </c>
      <c r="F12" s="13">
        <v>44901</v>
      </c>
      <c r="G12" s="8">
        <f t="shared" si="0"/>
        <v>205</v>
      </c>
      <c r="H12" s="14">
        <f t="shared" si="1"/>
        <v>68.33</v>
      </c>
      <c r="I12" s="8" t="str">
        <f>IF(H12&gt;=Settings!$B$4,Settings!$A$4,IF(H12&gt;=Settings!$B$5,Settings!$A$5,IF(H12&gt;=Settings!$B$6,Settings!$A$6,IF(H12&gt;=Settings!$B$7,Settings!$A$7,IF(H12&gt;=Settings!$B$8,Settings!$A$8,Settings!$A$9)))))</f>
        <v>C</v>
      </c>
      <c r="J12" s="8" t="str">
        <f>IF(AND(C12&gt;Settings!$B$12,D12&gt;Settings!$B$12),"Yes","No")</f>
        <v>No</v>
      </c>
      <c r="K12" s="8">
        <f>RANK(G12,$G$2:$G$21,0)+COUNTIF($G$2:G12,G12)-1</f>
        <v>13</v>
      </c>
    </row>
    <row r="13" spans="1:11" x14ac:dyDescent="0.3">
      <c r="A13" s="6">
        <v>1012</v>
      </c>
      <c r="B13" s="12" t="s">
        <v>73</v>
      </c>
      <c r="C13" s="6">
        <v>85</v>
      </c>
      <c r="D13" s="6">
        <v>89</v>
      </c>
      <c r="E13" s="6">
        <v>79</v>
      </c>
      <c r="F13" s="13">
        <v>45081</v>
      </c>
      <c r="G13" s="8">
        <f t="shared" si="0"/>
        <v>253</v>
      </c>
      <c r="H13" s="14">
        <f t="shared" si="1"/>
        <v>84.33</v>
      </c>
      <c r="I13" s="8" t="str">
        <f>IF(H13&gt;=Settings!$B$4,Settings!$A$4,IF(H13&gt;=Settings!$B$5,Settings!$A$5,IF(H13&gt;=Settings!$B$6,Settings!$A$6,IF(H13&gt;=Settings!$B$7,Settings!$A$7,IF(H13&gt;=Settings!$B$8,Settings!$A$8,Settings!$A$9)))))</f>
        <v>A</v>
      </c>
      <c r="J13" s="8" t="str">
        <f>IF(AND(C13&gt;Settings!$B$12,D13&gt;Settings!$B$12),"Yes","No")</f>
        <v>Yes</v>
      </c>
      <c r="K13" s="8">
        <f>RANK(G13,$G$2:$G$21,0)+COUNTIF($G$2:G13,G13)-1</f>
        <v>2</v>
      </c>
    </row>
    <row r="14" spans="1:11" x14ac:dyDescent="0.3">
      <c r="A14" s="6">
        <v>1013</v>
      </c>
      <c r="B14" s="12" t="s">
        <v>74</v>
      </c>
      <c r="C14" s="6">
        <v>98</v>
      </c>
      <c r="D14" s="6">
        <v>90</v>
      </c>
      <c r="E14" s="6">
        <v>97</v>
      </c>
      <c r="F14" s="13">
        <v>45261</v>
      </c>
      <c r="G14" s="8">
        <f t="shared" si="0"/>
        <v>285</v>
      </c>
      <c r="H14" s="14">
        <f t="shared" si="1"/>
        <v>95</v>
      </c>
      <c r="I14" s="8" t="str">
        <f>IF(H14&gt;=Settings!$B$4,Settings!$A$4,IF(H14&gt;=Settings!$B$5,Settings!$A$5,IF(H14&gt;=Settings!$B$6,Settings!$A$6,IF(H14&gt;=Settings!$B$7,Settings!$A$7,IF(H14&gt;=Settings!$B$8,Settings!$A$8,Settings!$A$9)))))</f>
        <v>A+</v>
      </c>
      <c r="J14" s="8" t="str">
        <f>IF(AND(C14&gt;Settings!$B$12,D14&gt;Settings!$B$12),"Yes","No")</f>
        <v>Yes</v>
      </c>
      <c r="K14" s="8">
        <f>RANK(G14,$G$2:$G$21,0)+COUNTIF($G$2:G14,G14)-1</f>
        <v>1</v>
      </c>
    </row>
    <row r="15" spans="1:11" x14ac:dyDescent="0.3">
      <c r="A15" s="6">
        <v>1014</v>
      </c>
      <c r="B15" s="12" t="s">
        <v>75</v>
      </c>
      <c r="C15" s="6">
        <v>93</v>
      </c>
      <c r="D15" s="6">
        <v>40</v>
      </c>
      <c r="E15" s="6">
        <v>44</v>
      </c>
      <c r="F15" s="13">
        <v>45441</v>
      </c>
      <c r="G15" s="8">
        <f t="shared" si="0"/>
        <v>177</v>
      </c>
      <c r="H15" s="14">
        <f t="shared" si="1"/>
        <v>59</v>
      </c>
      <c r="I15" s="8" t="str">
        <f>IF(H15&gt;=Settings!$B$4,Settings!$A$4,IF(H15&gt;=Settings!$B$5,Settings!$A$5,IF(H15&gt;=Settings!$B$6,Settings!$A$6,IF(H15&gt;=Settings!$B$7,Settings!$A$7,IF(H15&gt;=Settings!$B$8,Settings!$A$8,Settings!$A$9)))))</f>
        <v>D</v>
      </c>
      <c r="J15" s="8" t="str">
        <f>IF(AND(C15&gt;Settings!$B$12,D15&gt;Settings!$B$12),"Yes","No")</f>
        <v>No</v>
      </c>
      <c r="K15" s="8">
        <f>RANK(G15,$G$2:$G$21,0)+COUNTIF($G$2:G15,G15)-1</f>
        <v>17</v>
      </c>
    </row>
    <row r="16" spans="1:11" x14ac:dyDescent="0.3">
      <c r="A16" s="6">
        <v>1015</v>
      </c>
      <c r="B16" s="12" t="s">
        <v>76</v>
      </c>
      <c r="C16" s="6">
        <v>70</v>
      </c>
      <c r="D16" s="6">
        <v>51</v>
      </c>
      <c r="E16" s="6">
        <v>75</v>
      </c>
      <c r="F16" s="13">
        <v>45621</v>
      </c>
      <c r="G16" s="8">
        <f t="shared" si="0"/>
        <v>196</v>
      </c>
      <c r="H16" s="14">
        <f t="shared" si="1"/>
        <v>65.33</v>
      </c>
      <c r="I16" s="8" t="str">
        <f>IF(H16&gt;=Settings!$B$4,Settings!$A$4,IF(H16&gt;=Settings!$B$5,Settings!$A$5,IF(H16&gt;=Settings!$B$6,Settings!$A$6,IF(H16&gt;=Settings!$B$7,Settings!$A$7,IF(H16&gt;=Settings!$B$8,Settings!$A$8,Settings!$A$9)))))</f>
        <v>C</v>
      </c>
      <c r="J16" s="8" t="str">
        <f>IF(AND(C16&gt;Settings!$B$12,D16&gt;Settings!$B$12),"Yes","No")</f>
        <v>No</v>
      </c>
      <c r="K16" s="8">
        <f>RANK(G16,$G$2:$G$21,0)+COUNTIF($G$2:G16,G16)-1</f>
        <v>15</v>
      </c>
    </row>
    <row r="17" spans="1:11" x14ac:dyDescent="0.3">
      <c r="A17" s="6">
        <v>1016</v>
      </c>
      <c r="B17" s="12" t="s">
        <v>77</v>
      </c>
      <c r="C17" s="6">
        <v>98</v>
      </c>
      <c r="D17" s="6">
        <v>77</v>
      </c>
      <c r="E17" s="6">
        <v>60</v>
      </c>
      <c r="F17" s="13">
        <v>45801</v>
      </c>
      <c r="G17" s="8">
        <f t="shared" si="0"/>
        <v>235</v>
      </c>
      <c r="H17" s="14">
        <f t="shared" si="1"/>
        <v>78.33</v>
      </c>
      <c r="I17" s="8" t="str">
        <f>IF(H17&gt;=Settings!$B$4,Settings!$A$4,IF(H17&gt;=Settings!$B$5,Settings!$A$5,IF(H17&gt;=Settings!$B$6,Settings!$A$6,IF(H17&gt;=Settings!$B$7,Settings!$A$7,IF(H17&gt;=Settings!$B$8,Settings!$A$8,Settings!$A$9)))))</f>
        <v>B</v>
      </c>
      <c r="J17" s="8" t="str">
        <f>IF(AND(C17&gt;Settings!$B$12,D17&gt;Settings!$B$12),"Yes","No")</f>
        <v>No</v>
      </c>
      <c r="K17" s="8">
        <f>RANK(G17,$G$2:$G$21,0)+COUNTIF($G$2:G17,G17)-1</f>
        <v>3</v>
      </c>
    </row>
    <row r="18" spans="1:11" x14ac:dyDescent="0.3">
      <c r="A18" s="6">
        <v>1017</v>
      </c>
      <c r="B18" s="12" t="s">
        <v>78</v>
      </c>
      <c r="C18" s="6">
        <v>66</v>
      </c>
      <c r="D18" s="6">
        <v>59</v>
      </c>
      <c r="E18" s="6">
        <v>40</v>
      </c>
      <c r="F18" s="13">
        <v>45981</v>
      </c>
      <c r="G18" s="8">
        <f t="shared" si="0"/>
        <v>165</v>
      </c>
      <c r="H18" s="14">
        <f t="shared" si="1"/>
        <v>55</v>
      </c>
      <c r="I18" s="8" t="str">
        <f>IF(H18&gt;=Settings!$B$4,Settings!$A$4,IF(H18&gt;=Settings!$B$5,Settings!$A$5,IF(H18&gt;=Settings!$B$6,Settings!$A$6,IF(H18&gt;=Settings!$B$7,Settings!$A$7,IF(H18&gt;=Settings!$B$8,Settings!$A$8,Settings!$A$9)))))</f>
        <v>D</v>
      </c>
      <c r="J18" s="8" t="str">
        <f>IF(AND(C18&gt;Settings!$B$12,D18&gt;Settings!$B$12),"Yes","No")</f>
        <v>No</v>
      </c>
      <c r="K18" s="8">
        <f>RANK(G18,$G$2:$G$21,0)+COUNTIF($G$2:G18,G18)-1</f>
        <v>20</v>
      </c>
    </row>
    <row r="19" spans="1:11" x14ac:dyDescent="0.3">
      <c r="A19" s="6">
        <v>1018</v>
      </c>
      <c r="B19" s="12" t="s">
        <v>79</v>
      </c>
      <c r="C19" s="6">
        <v>82</v>
      </c>
      <c r="D19" s="6">
        <v>48</v>
      </c>
      <c r="E19" s="6">
        <v>79</v>
      </c>
      <c r="F19" s="13">
        <v>46161</v>
      </c>
      <c r="G19" s="8">
        <f t="shared" si="0"/>
        <v>209</v>
      </c>
      <c r="H19" s="14">
        <f t="shared" si="1"/>
        <v>69.67</v>
      </c>
      <c r="I19" s="8" t="str">
        <f>IF(H19&gt;=Settings!$B$4,Settings!$A$4,IF(H19&gt;=Settings!$B$5,Settings!$A$5,IF(H19&gt;=Settings!$B$6,Settings!$A$6,IF(H19&gt;=Settings!$B$7,Settings!$A$7,IF(H19&gt;=Settings!$B$8,Settings!$A$8,Settings!$A$9)))))</f>
        <v>C</v>
      </c>
      <c r="J19" s="8" t="str">
        <f>IF(AND(C19&gt;Settings!$B$12,D19&gt;Settings!$B$12),"Yes","No")</f>
        <v>No</v>
      </c>
      <c r="K19" s="8">
        <f>RANK(G19,$G$2:$G$21,0)+COUNTIF($G$2:G19,G19)-1</f>
        <v>11</v>
      </c>
    </row>
    <row r="20" spans="1:11" x14ac:dyDescent="0.3">
      <c r="A20" s="6">
        <v>1019</v>
      </c>
      <c r="B20" s="12" t="s">
        <v>80</v>
      </c>
      <c r="C20" s="6">
        <v>90</v>
      </c>
      <c r="D20" s="6">
        <v>78</v>
      </c>
      <c r="E20" s="6">
        <v>60</v>
      </c>
      <c r="F20" s="13">
        <v>46341</v>
      </c>
      <c r="G20" s="8">
        <f t="shared" si="0"/>
        <v>228</v>
      </c>
      <c r="H20" s="14">
        <f t="shared" si="1"/>
        <v>76</v>
      </c>
      <c r="I20" s="8" t="str">
        <f>IF(H20&gt;=Settings!$B$4,Settings!$A$4,IF(H20&gt;=Settings!$B$5,Settings!$A$5,IF(H20&gt;=Settings!$B$6,Settings!$A$6,IF(H20&gt;=Settings!$B$7,Settings!$A$7,IF(H20&gt;=Settings!$B$8,Settings!$A$8,Settings!$A$9)))))</f>
        <v>B</v>
      </c>
      <c r="J20" s="8" t="str">
        <f>IF(AND(C20&gt;Settings!$B$12,D20&gt;Settings!$B$12),"Yes","No")</f>
        <v>No</v>
      </c>
      <c r="K20" s="8">
        <f>RANK(G20,$G$2:$G$21,0)+COUNTIF($G$2:G20,G20)-1</f>
        <v>5</v>
      </c>
    </row>
    <row r="21" spans="1:11" x14ac:dyDescent="0.3">
      <c r="A21" s="6">
        <v>1020</v>
      </c>
      <c r="B21" s="12" t="s">
        <v>81</v>
      </c>
      <c r="C21" s="6">
        <v>83</v>
      </c>
      <c r="D21" s="6">
        <v>92</v>
      </c>
      <c r="E21" s="6">
        <v>55</v>
      </c>
      <c r="F21" s="13">
        <v>46521</v>
      </c>
      <c r="G21" s="8">
        <f t="shared" si="0"/>
        <v>230</v>
      </c>
      <c r="H21" s="14">
        <f t="shared" si="1"/>
        <v>76.67</v>
      </c>
      <c r="I21" s="8" t="str">
        <f>IF(H21&gt;=Settings!$B$4,Settings!$A$4,IF(H21&gt;=Settings!$B$5,Settings!$A$5,IF(H21&gt;=Settings!$B$6,Settings!$A$6,IF(H21&gt;=Settings!$B$7,Settings!$A$7,IF(H21&gt;=Settings!$B$8,Settings!$A$8,Settings!$A$9)))))</f>
        <v>B</v>
      </c>
      <c r="J21" s="8" t="str">
        <f>IF(AND(C21&gt;Settings!$B$12,D21&gt;Settings!$B$12),"Yes","No")</f>
        <v>Yes</v>
      </c>
      <c r="K21" s="8">
        <f>RANK(G21,$G$2:$G$21,0)+COUNTIF($G$2:G21,G21)-1</f>
        <v>4</v>
      </c>
    </row>
  </sheetData>
  <conditionalFormatting sqref="I2:I21">
    <cfRule type="cellIs" dxfId="4" priority="1" operator="equal">
      <formula>"F"</formula>
    </cfRule>
    <cfRule type="expression" dxfId="3" priority="2">
      <formula>OR(I2="A+",I2="A")</formula>
    </cfRule>
  </conditionalFormatting>
  <conditionalFormatting sqref="J2:J21">
    <cfRule type="cellIs" dxfId="2" priority="3" operator="equal">
      <formula>"Yes"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1" customWidth="1"/>
    <col min="3" max="3" width="9" customWidth="1"/>
    <col min="4" max="4" width="13" customWidth="1"/>
    <col min="5" max="5" width="12" customWidth="1"/>
    <col min="6" max="7" width="14" customWidth="1"/>
    <col min="8" max="8" width="13" customWidth="1"/>
    <col min="9" max="10" width="12" customWidth="1"/>
    <col min="11" max="11" width="14" customWidth="1"/>
    <col min="12" max="12" width="18" customWidth="1"/>
    <col min="13" max="13" width="11" customWidth="1"/>
    <col min="14" max="15" width="14" customWidth="1"/>
    <col min="16" max="16" width="15" customWidth="1"/>
  </cols>
  <sheetData>
    <row r="1" spans="1:16" ht="30" customHeight="1" x14ac:dyDescent="0.3">
      <c r="A1" s="3" t="s">
        <v>82</v>
      </c>
      <c r="B1" s="3" t="s">
        <v>39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92</v>
      </c>
      <c r="M1" s="3" t="s">
        <v>93</v>
      </c>
      <c r="N1" s="3" t="s">
        <v>94</v>
      </c>
      <c r="O1" s="3" t="s">
        <v>95</v>
      </c>
      <c r="P1" s="3" t="s">
        <v>96</v>
      </c>
    </row>
    <row r="2" spans="1:16" x14ac:dyDescent="0.3">
      <c r="A2" s="6">
        <v>2001</v>
      </c>
      <c r="B2" s="6" t="s">
        <v>42</v>
      </c>
      <c r="C2" s="6" t="s">
        <v>97</v>
      </c>
      <c r="D2" s="6" t="s">
        <v>98</v>
      </c>
      <c r="E2" s="15">
        <v>7048</v>
      </c>
      <c r="F2" s="13">
        <v>44927</v>
      </c>
      <c r="G2" s="16">
        <f>VLOOKUP(B2,Price_List!$B$4:$C$8,2,FALSE)</f>
        <v>1500</v>
      </c>
      <c r="H2" s="17">
        <f>IF(E2&gt;=Settings!$B$15,Settings!$C$15,IF(E2&gt;=Settings!$B$16,Settings!$C$16,IF(E2&gt;=Settings!$B$17,Settings!$C$17,Settings!$C$18)))</f>
        <v>0</v>
      </c>
      <c r="I2" s="16">
        <f t="shared" ref="I2:I21" si="0">ROUND(E2*H2,0)</f>
        <v>0</v>
      </c>
      <c r="J2" s="16">
        <f t="shared" ref="J2:J21" si="1">E2-I2</f>
        <v>7048</v>
      </c>
      <c r="K2" s="8" t="str">
        <f>IF(OR(E2&gt;=Settings!$B$20,C2=Settings!$B$21),"Eligible","Not Eligible")</f>
        <v>Not Eligible</v>
      </c>
      <c r="L2" s="5" t="str">
        <f t="shared" ref="L2:L21" si="2">D2&amp;"|"&amp;TEXT(F2,"yyyy-mm")</f>
        <v>Person 1|2023-01</v>
      </c>
      <c r="M2" s="8" t="str">
        <f t="shared" ref="M2:M21" si="3">TEXT(F2,"mmm-yyyy")</f>
        <v>Jan-2023</v>
      </c>
      <c r="N2" s="16">
        <f>CEILING(J2,Settings!$B$24)</f>
        <v>7050</v>
      </c>
      <c r="O2" s="16">
        <f>FLOOR(J2,Settings!$B$24)</f>
        <v>7040</v>
      </c>
      <c r="P2" s="16" t="str">
        <f ca="1">IF(ROWS($E$2:E2)&lt;3,"",ROUND(AVERAGE(OFFSET(E2,-2,0,3,1)),0))</f>
        <v/>
      </c>
    </row>
    <row r="3" spans="1:16" x14ac:dyDescent="0.3">
      <c r="A3" s="6">
        <v>2002</v>
      </c>
      <c r="B3" s="6" t="s">
        <v>46</v>
      </c>
      <c r="C3" s="6" t="s">
        <v>31</v>
      </c>
      <c r="D3" s="6" t="s">
        <v>99</v>
      </c>
      <c r="E3" s="15">
        <v>17428</v>
      </c>
      <c r="F3" s="13">
        <v>44942</v>
      </c>
      <c r="G3" s="16">
        <f>VLOOKUP(B3,Price_List!$B$4:$C$8,2,FALSE)</f>
        <v>8000</v>
      </c>
      <c r="H3" s="17">
        <f>IF(E3&gt;=Settings!$B$15,Settings!$C$15,IF(E3&gt;=Settings!$B$16,Settings!$C$16,IF(E3&gt;=Settings!$B$17,Settings!$C$17,Settings!$C$18)))</f>
        <v>0.05</v>
      </c>
      <c r="I3" s="16">
        <f t="shared" si="0"/>
        <v>871</v>
      </c>
      <c r="J3" s="16">
        <f t="shared" si="1"/>
        <v>16557</v>
      </c>
      <c r="K3" s="8" t="str">
        <f>IF(OR(E3&gt;=Settings!$B$20,C3=Settings!$B$21),"Eligible","Not Eligible")</f>
        <v>Eligible</v>
      </c>
      <c r="L3" s="5" t="str">
        <f t="shared" si="2"/>
        <v>Person 2|2023-01</v>
      </c>
      <c r="M3" s="8" t="str">
        <f t="shared" si="3"/>
        <v>Jan-2023</v>
      </c>
      <c r="N3" s="16">
        <f>CEILING(J3,Settings!$B$24)</f>
        <v>16560</v>
      </c>
      <c r="O3" s="16">
        <f>FLOOR(J3,Settings!$B$24)</f>
        <v>16550</v>
      </c>
      <c r="P3" s="16" t="str">
        <f ca="1">IF(ROWS($E$2:E3)&lt;3,"",ROUND(AVERAGE(OFFSET(E3,-2,0,3,1)),0))</f>
        <v/>
      </c>
    </row>
    <row r="4" spans="1:16" x14ac:dyDescent="0.3">
      <c r="A4" s="6">
        <v>2003</v>
      </c>
      <c r="B4" s="6" t="s">
        <v>44</v>
      </c>
      <c r="C4" s="6" t="s">
        <v>97</v>
      </c>
      <c r="D4" s="6" t="s">
        <v>100</v>
      </c>
      <c r="E4" s="15">
        <v>23672</v>
      </c>
      <c r="F4" s="13">
        <v>44957</v>
      </c>
      <c r="G4" s="16">
        <f>VLOOKUP(B4,Price_List!$B$4:$C$8,2,FALSE)</f>
        <v>800</v>
      </c>
      <c r="H4" s="17">
        <f>IF(E4&gt;=Settings!$B$15,Settings!$C$15,IF(E4&gt;=Settings!$B$16,Settings!$C$16,IF(E4&gt;=Settings!$B$17,Settings!$C$17,Settings!$C$18)))</f>
        <v>0.05</v>
      </c>
      <c r="I4" s="16">
        <f t="shared" si="0"/>
        <v>1184</v>
      </c>
      <c r="J4" s="16">
        <f t="shared" si="1"/>
        <v>22488</v>
      </c>
      <c r="K4" s="8" t="str">
        <f>IF(OR(E4&gt;=Settings!$B$20,C4=Settings!$B$21),"Eligible","Not Eligible")</f>
        <v>Not Eligible</v>
      </c>
      <c r="L4" s="5" t="str">
        <f t="shared" si="2"/>
        <v>Person 3|2023-01</v>
      </c>
      <c r="M4" s="8" t="str">
        <f t="shared" si="3"/>
        <v>Jan-2023</v>
      </c>
      <c r="N4" s="16">
        <f>CEILING(J4,Settings!$B$24)</f>
        <v>22490</v>
      </c>
      <c r="O4" s="16">
        <f>FLOOR(J4,Settings!$B$24)</f>
        <v>22480</v>
      </c>
      <c r="P4" s="16">
        <f ca="1">IF(ROWS($E$2:E4)&lt;3,"",ROUND(AVERAGE(OFFSET(E4,-2,0,3,1)),0))</f>
        <v>16049</v>
      </c>
    </row>
    <row r="5" spans="1:16" x14ac:dyDescent="0.3">
      <c r="A5" s="6">
        <v>2004</v>
      </c>
      <c r="B5" s="6" t="s">
        <v>46</v>
      </c>
      <c r="C5" s="6" t="s">
        <v>101</v>
      </c>
      <c r="D5" s="6" t="s">
        <v>102</v>
      </c>
      <c r="E5" s="15">
        <v>5264</v>
      </c>
      <c r="F5" s="13">
        <v>44972</v>
      </c>
      <c r="G5" s="16">
        <f>VLOOKUP(B5,Price_List!$B$4:$C$8,2,FALSE)</f>
        <v>8000</v>
      </c>
      <c r="H5" s="17">
        <f>IF(E5&gt;=Settings!$B$15,Settings!$C$15,IF(E5&gt;=Settings!$B$16,Settings!$C$16,IF(E5&gt;=Settings!$B$17,Settings!$C$17,Settings!$C$18)))</f>
        <v>0</v>
      </c>
      <c r="I5" s="16">
        <f t="shared" si="0"/>
        <v>0</v>
      </c>
      <c r="J5" s="16">
        <f t="shared" si="1"/>
        <v>5264</v>
      </c>
      <c r="K5" s="8" t="str">
        <f>IF(OR(E5&gt;=Settings!$B$20,C5=Settings!$B$21),"Eligible","Not Eligible")</f>
        <v>Not Eligible</v>
      </c>
      <c r="L5" s="5" t="str">
        <f t="shared" si="2"/>
        <v>Person 4|2023-02</v>
      </c>
      <c r="M5" s="8" t="str">
        <f t="shared" si="3"/>
        <v>Feb-2023</v>
      </c>
      <c r="N5" s="16">
        <f>CEILING(J5,Settings!$B$24)</f>
        <v>5270</v>
      </c>
      <c r="O5" s="16">
        <f>FLOOR(J5,Settings!$B$24)</f>
        <v>5260</v>
      </c>
      <c r="P5" s="16">
        <f ca="1">IF(ROWS($E$2:E5)&lt;3,"",ROUND(AVERAGE(OFFSET(E5,-2,0,3,1)),0))</f>
        <v>15455</v>
      </c>
    </row>
    <row r="6" spans="1:16" x14ac:dyDescent="0.3">
      <c r="A6" s="6">
        <v>2005</v>
      </c>
      <c r="B6" s="6" t="s">
        <v>42</v>
      </c>
      <c r="C6" s="6" t="s">
        <v>103</v>
      </c>
      <c r="D6" s="6" t="s">
        <v>104</v>
      </c>
      <c r="E6" s="15">
        <v>43388</v>
      </c>
      <c r="F6" s="13">
        <v>44987</v>
      </c>
      <c r="G6" s="16">
        <f>VLOOKUP(B6,Price_List!$B$4:$C$8,2,FALSE)</f>
        <v>1500</v>
      </c>
      <c r="H6" s="17">
        <f>IF(E6&gt;=Settings!$B$15,Settings!$C$15,IF(E6&gt;=Settings!$B$16,Settings!$C$16,IF(E6&gt;=Settings!$B$17,Settings!$C$17,Settings!$C$18)))</f>
        <v>0.15</v>
      </c>
      <c r="I6" s="16">
        <f t="shared" si="0"/>
        <v>6508</v>
      </c>
      <c r="J6" s="16">
        <f t="shared" si="1"/>
        <v>36880</v>
      </c>
      <c r="K6" s="8" t="str">
        <f>IF(OR(E6&gt;=Settings!$B$20,C6=Settings!$B$21),"Eligible","Not Eligible")</f>
        <v>Eligible</v>
      </c>
      <c r="L6" s="5" t="str">
        <f t="shared" si="2"/>
        <v>Person 5|2023-03</v>
      </c>
      <c r="M6" s="8" t="str">
        <f t="shared" si="3"/>
        <v>Mar-2023</v>
      </c>
      <c r="N6" s="16">
        <f>CEILING(J6,Settings!$B$24)</f>
        <v>36880</v>
      </c>
      <c r="O6" s="16">
        <f>FLOOR(J6,Settings!$B$24)</f>
        <v>36880</v>
      </c>
      <c r="P6" s="16">
        <f ca="1">IF(ROWS($E$2:E6)&lt;3,"",ROUND(AVERAGE(OFFSET(E6,-2,0,3,1)),0))</f>
        <v>24108</v>
      </c>
    </row>
    <row r="7" spans="1:16" x14ac:dyDescent="0.3">
      <c r="A7" s="6">
        <v>2006</v>
      </c>
      <c r="B7" s="6" t="s">
        <v>44</v>
      </c>
      <c r="C7" s="6" t="s">
        <v>103</v>
      </c>
      <c r="D7" s="6" t="s">
        <v>105</v>
      </c>
      <c r="E7" s="15">
        <v>19757</v>
      </c>
      <c r="F7" s="13">
        <v>45002</v>
      </c>
      <c r="G7" s="16">
        <f>VLOOKUP(B7,Price_List!$B$4:$C$8,2,FALSE)</f>
        <v>800</v>
      </c>
      <c r="H7" s="17">
        <f>IF(E7&gt;=Settings!$B$15,Settings!$C$15,IF(E7&gt;=Settings!$B$16,Settings!$C$16,IF(E7&gt;=Settings!$B$17,Settings!$C$17,Settings!$C$18)))</f>
        <v>0.05</v>
      </c>
      <c r="I7" s="16">
        <f t="shared" si="0"/>
        <v>988</v>
      </c>
      <c r="J7" s="16">
        <f t="shared" si="1"/>
        <v>18769</v>
      </c>
      <c r="K7" s="8" t="str">
        <f>IF(OR(E7&gt;=Settings!$B$20,C7=Settings!$B$21),"Eligible","Not Eligible")</f>
        <v>Not Eligible</v>
      </c>
      <c r="L7" s="5" t="str">
        <f t="shared" si="2"/>
        <v>Person 6|2023-03</v>
      </c>
      <c r="M7" s="8" t="str">
        <f t="shared" si="3"/>
        <v>Mar-2023</v>
      </c>
      <c r="N7" s="16">
        <f>CEILING(J7,Settings!$B$24)</f>
        <v>18770</v>
      </c>
      <c r="O7" s="16">
        <f>FLOOR(J7,Settings!$B$24)</f>
        <v>18760</v>
      </c>
      <c r="P7" s="16">
        <f ca="1">IF(ROWS($E$2:E7)&lt;3,"",ROUND(AVERAGE(OFFSET(E7,-2,0,3,1)),0))</f>
        <v>22803</v>
      </c>
    </row>
    <row r="8" spans="1:16" x14ac:dyDescent="0.3">
      <c r="A8" s="6">
        <v>2007</v>
      </c>
      <c r="B8" s="6" t="s">
        <v>44</v>
      </c>
      <c r="C8" s="6" t="s">
        <v>101</v>
      </c>
      <c r="D8" s="6" t="s">
        <v>106</v>
      </c>
      <c r="E8" s="15">
        <v>32058</v>
      </c>
      <c r="F8" s="13">
        <v>45017</v>
      </c>
      <c r="G8" s="16">
        <f>VLOOKUP(B8,Price_List!$B$4:$C$8,2,FALSE)</f>
        <v>800</v>
      </c>
      <c r="H8" s="17">
        <f>IF(E8&gt;=Settings!$B$15,Settings!$C$15,IF(E8&gt;=Settings!$B$16,Settings!$C$16,IF(E8&gt;=Settings!$B$17,Settings!$C$17,Settings!$C$18)))</f>
        <v>0.1</v>
      </c>
      <c r="I8" s="16">
        <f t="shared" si="0"/>
        <v>3206</v>
      </c>
      <c r="J8" s="16">
        <f t="shared" si="1"/>
        <v>28852</v>
      </c>
      <c r="K8" s="8" t="str">
        <f>IF(OR(E8&gt;=Settings!$B$20,C8=Settings!$B$21),"Eligible","Not Eligible")</f>
        <v>Eligible</v>
      </c>
      <c r="L8" s="5" t="str">
        <f t="shared" si="2"/>
        <v>Person 7|2023-04</v>
      </c>
      <c r="M8" s="8" t="str">
        <f t="shared" si="3"/>
        <v>Apr-2023</v>
      </c>
      <c r="N8" s="16">
        <f>CEILING(J8,Settings!$B$24)</f>
        <v>28860</v>
      </c>
      <c r="O8" s="16">
        <f>FLOOR(J8,Settings!$B$24)</f>
        <v>28850</v>
      </c>
      <c r="P8" s="16">
        <f ca="1">IF(ROWS($E$2:E8)&lt;3,"",ROUND(AVERAGE(OFFSET(E8,-2,0,3,1)),0))</f>
        <v>31734</v>
      </c>
    </row>
    <row r="9" spans="1:16" x14ac:dyDescent="0.3">
      <c r="A9" s="6">
        <v>2008</v>
      </c>
      <c r="B9" s="6" t="s">
        <v>42</v>
      </c>
      <c r="C9" s="6" t="s">
        <v>101</v>
      </c>
      <c r="D9" s="6" t="s">
        <v>107</v>
      </c>
      <c r="E9" s="15">
        <v>46429</v>
      </c>
      <c r="F9" s="13">
        <v>45032</v>
      </c>
      <c r="G9" s="16">
        <f>VLOOKUP(B9,Price_List!$B$4:$C$8,2,FALSE)</f>
        <v>1500</v>
      </c>
      <c r="H9" s="17">
        <f>IF(E9&gt;=Settings!$B$15,Settings!$C$15,IF(E9&gt;=Settings!$B$16,Settings!$C$16,IF(E9&gt;=Settings!$B$17,Settings!$C$17,Settings!$C$18)))</f>
        <v>0.15</v>
      </c>
      <c r="I9" s="16">
        <f t="shared" si="0"/>
        <v>6964</v>
      </c>
      <c r="J9" s="16">
        <f t="shared" si="1"/>
        <v>39465</v>
      </c>
      <c r="K9" s="8" t="str">
        <f>IF(OR(E9&gt;=Settings!$B$20,C9=Settings!$B$21),"Eligible","Not Eligible")</f>
        <v>Eligible</v>
      </c>
      <c r="L9" s="5" t="str">
        <f t="shared" si="2"/>
        <v>Person 8|2023-04</v>
      </c>
      <c r="M9" s="8" t="str">
        <f t="shared" si="3"/>
        <v>Apr-2023</v>
      </c>
      <c r="N9" s="16">
        <f>CEILING(J9,Settings!$B$24)</f>
        <v>39470</v>
      </c>
      <c r="O9" s="16">
        <f>FLOOR(J9,Settings!$B$24)</f>
        <v>39460</v>
      </c>
      <c r="P9" s="16">
        <f ca="1">IF(ROWS($E$2:E9)&lt;3,"",ROUND(AVERAGE(OFFSET(E9,-2,0,3,1)),0))</f>
        <v>32748</v>
      </c>
    </row>
    <row r="10" spans="1:16" x14ac:dyDescent="0.3">
      <c r="A10" s="6">
        <v>2009</v>
      </c>
      <c r="B10" s="6" t="s">
        <v>46</v>
      </c>
      <c r="C10" s="6" t="s">
        <v>101</v>
      </c>
      <c r="D10" s="6" t="s">
        <v>108</v>
      </c>
      <c r="E10" s="15">
        <v>19746</v>
      </c>
      <c r="F10" s="13">
        <v>45047</v>
      </c>
      <c r="G10" s="16">
        <f>VLOOKUP(B10,Price_List!$B$4:$C$8,2,FALSE)</f>
        <v>8000</v>
      </c>
      <c r="H10" s="17">
        <f>IF(E10&gt;=Settings!$B$15,Settings!$C$15,IF(E10&gt;=Settings!$B$16,Settings!$C$16,IF(E10&gt;=Settings!$B$17,Settings!$C$17,Settings!$C$18)))</f>
        <v>0.05</v>
      </c>
      <c r="I10" s="16">
        <f t="shared" si="0"/>
        <v>987</v>
      </c>
      <c r="J10" s="16">
        <f t="shared" si="1"/>
        <v>18759</v>
      </c>
      <c r="K10" s="8" t="str">
        <f>IF(OR(E10&gt;=Settings!$B$20,C10=Settings!$B$21),"Eligible","Not Eligible")</f>
        <v>Not Eligible</v>
      </c>
      <c r="L10" s="5" t="str">
        <f t="shared" si="2"/>
        <v>Person 9|2023-05</v>
      </c>
      <c r="M10" s="8" t="str">
        <f t="shared" si="3"/>
        <v>May-2023</v>
      </c>
      <c r="N10" s="16">
        <f>CEILING(J10,Settings!$B$24)</f>
        <v>18760</v>
      </c>
      <c r="O10" s="16">
        <f>FLOOR(J10,Settings!$B$24)</f>
        <v>18750</v>
      </c>
      <c r="P10" s="16">
        <f ca="1">IF(ROWS($E$2:E10)&lt;3,"",ROUND(AVERAGE(OFFSET(E10,-2,0,3,1)),0))</f>
        <v>32744</v>
      </c>
    </row>
    <row r="11" spans="1:16" x14ac:dyDescent="0.3">
      <c r="A11" s="6">
        <v>2010</v>
      </c>
      <c r="B11" s="6" t="s">
        <v>42</v>
      </c>
      <c r="C11" s="6" t="s">
        <v>97</v>
      </c>
      <c r="D11" s="6" t="s">
        <v>109</v>
      </c>
      <c r="E11" s="15">
        <v>35185</v>
      </c>
      <c r="F11" s="13">
        <v>45062</v>
      </c>
      <c r="G11" s="16">
        <f>VLOOKUP(B11,Price_List!$B$4:$C$8,2,FALSE)</f>
        <v>1500</v>
      </c>
      <c r="H11" s="17">
        <f>IF(E11&gt;=Settings!$B$15,Settings!$C$15,IF(E11&gt;=Settings!$B$16,Settings!$C$16,IF(E11&gt;=Settings!$B$17,Settings!$C$17,Settings!$C$18)))</f>
        <v>0.1</v>
      </c>
      <c r="I11" s="16">
        <f t="shared" si="0"/>
        <v>3519</v>
      </c>
      <c r="J11" s="16">
        <f t="shared" si="1"/>
        <v>31666</v>
      </c>
      <c r="K11" s="8" t="str">
        <f>IF(OR(E11&gt;=Settings!$B$20,C11=Settings!$B$21),"Eligible","Not Eligible")</f>
        <v>Eligible</v>
      </c>
      <c r="L11" s="5" t="str">
        <f t="shared" si="2"/>
        <v>Person 10|2023-05</v>
      </c>
      <c r="M11" s="8" t="str">
        <f t="shared" si="3"/>
        <v>May-2023</v>
      </c>
      <c r="N11" s="16">
        <f>CEILING(J11,Settings!$B$24)</f>
        <v>31670</v>
      </c>
      <c r="O11" s="16">
        <f>FLOOR(J11,Settings!$B$24)</f>
        <v>31660</v>
      </c>
      <c r="P11" s="16">
        <f ca="1">IF(ROWS($E$2:E11)&lt;3,"",ROUND(AVERAGE(OFFSET(E11,-2,0,3,1)),0))</f>
        <v>33787</v>
      </c>
    </row>
    <row r="12" spans="1:16" x14ac:dyDescent="0.3">
      <c r="A12" s="6">
        <v>2011</v>
      </c>
      <c r="B12" s="6" t="s">
        <v>42</v>
      </c>
      <c r="C12" s="6" t="s">
        <v>101</v>
      </c>
      <c r="D12" s="6" t="s">
        <v>110</v>
      </c>
      <c r="E12" s="15">
        <v>33920</v>
      </c>
      <c r="F12" s="13">
        <v>45077</v>
      </c>
      <c r="G12" s="16">
        <f>VLOOKUP(B12,Price_List!$B$4:$C$8,2,FALSE)</f>
        <v>1500</v>
      </c>
      <c r="H12" s="17">
        <f>IF(E12&gt;=Settings!$B$15,Settings!$C$15,IF(E12&gt;=Settings!$B$16,Settings!$C$16,IF(E12&gt;=Settings!$B$17,Settings!$C$17,Settings!$C$18)))</f>
        <v>0.1</v>
      </c>
      <c r="I12" s="16">
        <f t="shared" si="0"/>
        <v>3392</v>
      </c>
      <c r="J12" s="16">
        <f t="shared" si="1"/>
        <v>30528</v>
      </c>
      <c r="K12" s="8" t="str">
        <f>IF(OR(E12&gt;=Settings!$B$20,C12=Settings!$B$21),"Eligible","Not Eligible")</f>
        <v>Eligible</v>
      </c>
      <c r="L12" s="5" t="str">
        <f t="shared" si="2"/>
        <v>Person 11|2023-05</v>
      </c>
      <c r="M12" s="8" t="str">
        <f t="shared" si="3"/>
        <v>May-2023</v>
      </c>
      <c r="N12" s="16">
        <f>CEILING(J12,Settings!$B$24)</f>
        <v>30530</v>
      </c>
      <c r="O12" s="16">
        <f>FLOOR(J12,Settings!$B$24)</f>
        <v>30520</v>
      </c>
      <c r="P12" s="16">
        <f ca="1">IF(ROWS($E$2:E12)&lt;3,"",ROUND(AVERAGE(OFFSET(E12,-2,0,3,1)),0))</f>
        <v>29617</v>
      </c>
    </row>
    <row r="13" spans="1:16" x14ac:dyDescent="0.3">
      <c r="A13" s="6">
        <v>2012</v>
      </c>
      <c r="B13" s="6" t="s">
        <v>48</v>
      </c>
      <c r="C13" s="6" t="s">
        <v>103</v>
      </c>
      <c r="D13" s="6" t="s">
        <v>111</v>
      </c>
      <c r="E13" s="15">
        <v>35611</v>
      </c>
      <c r="F13" s="13">
        <v>45092</v>
      </c>
      <c r="G13" s="16">
        <f>VLOOKUP(B13,Price_List!$B$4:$C$8,2,FALSE)</f>
        <v>12000</v>
      </c>
      <c r="H13" s="17">
        <f>IF(E13&gt;=Settings!$B$15,Settings!$C$15,IF(E13&gt;=Settings!$B$16,Settings!$C$16,IF(E13&gt;=Settings!$B$17,Settings!$C$17,Settings!$C$18)))</f>
        <v>0.1</v>
      </c>
      <c r="I13" s="16">
        <f t="shared" si="0"/>
        <v>3561</v>
      </c>
      <c r="J13" s="16">
        <f t="shared" si="1"/>
        <v>32050</v>
      </c>
      <c r="K13" s="8" t="str">
        <f>IF(OR(E13&gt;=Settings!$B$20,C13=Settings!$B$21),"Eligible","Not Eligible")</f>
        <v>Eligible</v>
      </c>
      <c r="L13" s="5" t="str">
        <f t="shared" si="2"/>
        <v>Person 12|2023-06</v>
      </c>
      <c r="M13" s="8" t="str">
        <f t="shared" si="3"/>
        <v>Jun-2023</v>
      </c>
      <c r="N13" s="16">
        <f>CEILING(J13,Settings!$B$24)</f>
        <v>32050</v>
      </c>
      <c r="O13" s="16">
        <f>FLOOR(J13,Settings!$B$24)</f>
        <v>32050</v>
      </c>
      <c r="P13" s="16">
        <f ca="1">IF(ROWS($E$2:E13)&lt;3,"",ROUND(AVERAGE(OFFSET(E13,-2,0,3,1)),0))</f>
        <v>34905</v>
      </c>
    </row>
    <row r="14" spans="1:16" x14ac:dyDescent="0.3">
      <c r="A14" s="6">
        <v>2013</v>
      </c>
      <c r="B14" s="6" t="s">
        <v>50</v>
      </c>
      <c r="C14" s="6" t="s">
        <v>101</v>
      </c>
      <c r="D14" s="6" t="s">
        <v>112</v>
      </c>
      <c r="E14" s="15">
        <v>15560</v>
      </c>
      <c r="F14" s="13">
        <v>45107</v>
      </c>
      <c r="G14" s="16">
        <f>VLOOKUP(B14,Price_List!$B$4:$C$8,2,FALSE)</f>
        <v>45000</v>
      </c>
      <c r="H14" s="17">
        <f>IF(E14&gt;=Settings!$B$15,Settings!$C$15,IF(E14&gt;=Settings!$B$16,Settings!$C$16,IF(E14&gt;=Settings!$B$17,Settings!$C$17,Settings!$C$18)))</f>
        <v>0.05</v>
      </c>
      <c r="I14" s="16">
        <f t="shared" si="0"/>
        <v>778</v>
      </c>
      <c r="J14" s="16">
        <f t="shared" si="1"/>
        <v>14782</v>
      </c>
      <c r="K14" s="8" t="str">
        <f>IF(OR(E14&gt;=Settings!$B$20,C14=Settings!$B$21),"Eligible","Not Eligible")</f>
        <v>Not Eligible</v>
      </c>
      <c r="L14" s="5" t="str">
        <f t="shared" si="2"/>
        <v>Person 13|2023-06</v>
      </c>
      <c r="M14" s="8" t="str">
        <f t="shared" si="3"/>
        <v>Jun-2023</v>
      </c>
      <c r="N14" s="16">
        <f>CEILING(J14,Settings!$B$24)</f>
        <v>14790</v>
      </c>
      <c r="O14" s="16">
        <f>FLOOR(J14,Settings!$B$24)</f>
        <v>14780</v>
      </c>
      <c r="P14" s="16">
        <f ca="1">IF(ROWS($E$2:E14)&lt;3,"",ROUND(AVERAGE(OFFSET(E14,-2,0,3,1)),0))</f>
        <v>28364</v>
      </c>
    </row>
    <row r="15" spans="1:16" x14ac:dyDescent="0.3">
      <c r="A15" s="6">
        <v>2014</v>
      </c>
      <c r="B15" s="6" t="s">
        <v>50</v>
      </c>
      <c r="C15" s="6" t="s">
        <v>97</v>
      </c>
      <c r="D15" s="6" t="s">
        <v>113</v>
      </c>
      <c r="E15" s="15">
        <v>7283</v>
      </c>
      <c r="F15" s="13">
        <v>45122</v>
      </c>
      <c r="G15" s="16">
        <f>VLOOKUP(B15,Price_List!$B$4:$C$8,2,FALSE)</f>
        <v>45000</v>
      </c>
      <c r="H15" s="17">
        <f>IF(E15&gt;=Settings!$B$15,Settings!$C$15,IF(E15&gt;=Settings!$B$16,Settings!$C$16,IF(E15&gt;=Settings!$B$17,Settings!$C$17,Settings!$C$18)))</f>
        <v>0</v>
      </c>
      <c r="I15" s="16">
        <f t="shared" si="0"/>
        <v>0</v>
      </c>
      <c r="J15" s="16">
        <f t="shared" si="1"/>
        <v>7283</v>
      </c>
      <c r="K15" s="8" t="str">
        <f>IF(OR(E15&gt;=Settings!$B$20,C15=Settings!$B$21),"Eligible","Not Eligible")</f>
        <v>Not Eligible</v>
      </c>
      <c r="L15" s="5" t="str">
        <f t="shared" si="2"/>
        <v>Person 14|2023-07</v>
      </c>
      <c r="M15" s="8" t="str">
        <f t="shared" si="3"/>
        <v>Jul-2023</v>
      </c>
      <c r="N15" s="16">
        <f>CEILING(J15,Settings!$B$24)</f>
        <v>7290</v>
      </c>
      <c r="O15" s="16">
        <f>FLOOR(J15,Settings!$B$24)</f>
        <v>7280</v>
      </c>
      <c r="P15" s="16">
        <f ca="1">IF(ROWS($E$2:E15)&lt;3,"",ROUND(AVERAGE(OFFSET(E15,-2,0,3,1)),0))</f>
        <v>19485</v>
      </c>
    </row>
    <row r="16" spans="1:16" x14ac:dyDescent="0.3">
      <c r="A16" s="6">
        <v>2015</v>
      </c>
      <c r="B16" s="6" t="s">
        <v>50</v>
      </c>
      <c r="C16" s="6" t="s">
        <v>101</v>
      </c>
      <c r="D16" s="6" t="s">
        <v>114</v>
      </c>
      <c r="E16" s="15">
        <v>15678</v>
      </c>
      <c r="F16" s="13">
        <v>45137</v>
      </c>
      <c r="G16" s="16">
        <f>VLOOKUP(B16,Price_List!$B$4:$C$8,2,FALSE)</f>
        <v>45000</v>
      </c>
      <c r="H16" s="17">
        <f>IF(E16&gt;=Settings!$B$15,Settings!$C$15,IF(E16&gt;=Settings!$B$16,Settings!$C$16,IF(E16&gt;=Settings!$B$17,Settings!$C$17,Settings!$C$18)))</f>
        <v>0.05</v>
      </c>
      <c r="I16" s="16">
        <f t="shared" si="0"/>
        <v>784</v>
      </c>
      <c r="J16" s="16">
        <f t="shared" si="1"/>
        <v>14894</v>
      </c>
      <c r="K16" s="8" t="str">
        <f>IF(OR(E16&gt;=Settings!$B$20,C16=Settings!$B$21),"Eligible","Not Eligible")</f>
        <v>Not Eligible</v>
      </c>
      <c r="L16" s="5" t="str">
        <f t="shared" si="2"/>
        <v>Person 15|2023-07</v>
      </c>
      <c r="M16" s="8" t="str">
        <f t="shared" si="3"/>
        <v>Jul-2023</v>
      </c>
      <c r="N16" s="16">
        <f>CEILING(J16,Settings!$B$24)</f>
        <v>14900</v>
      </c>
      <c r="O16" s="16">
        <f>FLOOR(J16,Settings!$B$24)</f>
        <v>14890</v>
      </c>
      <c r="P16" s="16">
        <f ca="1">IF(ROWS($E$2:E16)&lt;3,"",ROUND(AVERAGE(OFFSET(E16,-2,0,3,1)),0))</f>
        <v>12840</v>
      </c>
    </row>
    <row r="17" spans="1:16" x14ac:dyDescent="0.3">
      <c r="A17" s="6">
        <v>2016</v>
      </c>
      <c r="B17" s="6" t="s">
        <v>44</v>
      </c>
      <c r="C17" s="6" t="s">
        <v>101</v>
      </c>
      <c r="D17" s="6" t="s">
        <v>115</v>
      </c>
      <c r="E17" s="15">
        <v>5277</v>
      </c>
      <c r="F17" s="13">
        <v>45152</v>
      </c>
      <c r="G17" s="16">
        <f>VLOOKUP(B17,Price_List!$B$4:$C$8,2,FALSE)</f>
        <v>800</v>
      </c>
      <c r="H17" s="17">
        <f>IF(E17&gt;=Settings!$B$15,Settings!$C$15,IF(E17&gt;=Settings!$B$16,Settings!$C$16,IF(E17&gt;=Settings!$B$17,Settings!$C$17,Settings!$C$18)))</f>
        <v>0</v>
      </c>
      <c r="I17" s="16">
        <f t="shared" si="0"/>
        <v>0</v>
      </c>
      <c r="J17" s="16">
        <f t="shared" si="1"/>
        <v>5277</v>
      </c>
      <c r="K17" s="8" t="str">
        <f>IF(OR(E17&gt;=Settings!$B$20,C17=Settings!$B$21),"Eligible","Not Eligible")</f>
        <v>Not Eligible</v>
      </c>
      <c r="L17" s="5" t="str">
        <f t="shared" si="2"/>
        <v>Person 16|2023-08</v>
      </c>
      <c r="M17" s="8" t="str">
        <f t="shared" si="3"/>
        <v>Aug-2023</v>
      </c>
      <c r="N17" s="16">
        <f>CEILING(J17,Settings!$B$24)</f>
        <v>5280</v>
      </c>
      <c r="O17" s="16">
        <f>FLOOR(J17,Settings!$B$24)</f>
        <v>5270</v>
      </c>
      <c r="P17" s="16">
        <f ca="1">IF(ROWS($E$2:E17)&lt;3,"",ROUND(AVERAGE(OFFSET(E17,-2,0,3,1)),0))</f>
        <v>9413</v>
      </c>
    </row>
    <row r="18" spans="1:16" x14ac:dyDescent="0.3">
      <c r="A18" s="6">
        <v>2017</v>
      </c>
      <c r="B18" s="6" t="s">
        <v>48</v>
      </c>
      <c r="C18" s="6" t="s">
        <v>103</v>
      </c>
      <c r="D18" s="6" t="s">
        <v>116</v>
      </c>
      <c r="E18" s="15">
        <v>41871</v>
      </c>
      <c r="F18" s="13">
        <v>45167</v>
      </c>
      <c r="G18" s="16">
        <f>VLOOKUP(B18,Price_List!$B$4:$C$8,2,FALSE)</f>
        <v>12000</v>
      </c>
      <c r="H18" s="17">
        <f>IF(E18&gt;=Settings!$B$15,Settings!$C$15,IF(E18&gt;=Settings!$B$16,Settings!$C$16,IF(E18&gt;=Settings!$B$17,Settings!$C$17,Settings!$C$18)))</f>
        <v>0.15</v>
      </c>
      <c r="I18" s="16">
        <f t="shared" si="0"/>
        <v>6281</v>
      </c>
      <c r="J18" s="16">
        <f t="shared" si="1"/>
        <v>35590</v>
      </c>
      <c r="K18" s="8" t="str">
        <f>IF(OR(E18&gt;=Settings!$B$20,C18=Settings!$B$21),"Eligible","Not Eligible")</f>
        <v>Eligible</v>
      </c>
      <c r="L18" s="5" t="str">
        <f t="shared" si="2"/>
        <v>Person 17|2023-08</v>
      </c>
      <c r="M18" s="8" t="str">
        <f t="shared" si="3"/>
        <v>Aug-2023</v>
      </c>
      <c r="N18" s="16">
        <f>CEILING(J18,Settings!$B$24)</f>
        <v>35590</v>
      </c>
      <c r="O18" s="16">
        <f>FLOOR(J18,Settings!$B$24)</f>
        <v>35590</v>
      </c>
      <c r="P18" s="16">
        <f ca="1">IF(ROWS($E$2:E18)&lt;3,"",ROUND(AVERAGE(OFFSET(E18,-2,0,3,1)),0))</f>
        <v>20942</v>
      </c>
    </row>
    <row r="19" spans="1:16" x14ac:dyDescent="0.3">
      <c r="A19" s="6">
        <v>2018</v>
      </c>
      <c r="B19" s="6" t="s">
        <v>48</v>
      </c>
      <c r="C19" s="6" t="s">
        <v>31</v>
      </c>
      <c r="D19" s="6" t="s">
        <v>117</v>
      </c>
      <c r="E19" s="15">
        <v>38161</v>
      </c>
      <c r="F19" s="13">
        <v>45182</v>
      </c>
      <c r="G19" s="16">
        <f>VLOOKUP(B19,Price_List!$B$4:$C$8,2,FALSE)</f>
        <v>12000</v>
      </c>
      <c r="H19" s="17">
        <f>IF(E19&gt;=Settings!$B$15,Settings!$C$15,IF(E19&gt;=Settings!$B$16,Settings!$C$16,IF(E19&gt;=Settings!$B$17,Settings!$C$17,Settings!$C$18)))</f>
        <v>0.1</v>
      </c>
      <c r="I19" s="16">
        <f t="shared" si="0"/>
        <v>3816</v>
      </c>
      <c r="J19" s="16">
        <f t="shared" si="1"/>
        <v>34345</v>
      </c>
      <c r="K19" s="8" t="str">
        <f>IF(OR(E19&gt;=Settings!$B$20,C19=Settings!$B$21),"Eligible","Not Eligible")</f>
        <v>Eligible</v>
      </c>
      <c r="L19" s="5" t="str">
        <f t="shared" si="2"/>
        <v>Person 18|2023-09</v>
      </c>
      <c r="M19" s="8" t="str">
        <f t="shared" si="3"/>
        <v>Sep-2023</v>
      </c>
      <c r="N19" s="16">
        <f>CEILING(J19,Settings!$B$24)</f>
        <v>34350</v>
      </c>
      <c r="O19" s="16">
        <f>FLOOR(J19,Settings!$B$24)</f>
        <v>34340</v>
      </c>
      <c r="P19" s="16">
        <f ca="1">IF(ROWS($E$2:E19)&lt;3,"",ROUND(AVERAGE(OFFSET(E19,-2,0,3,1)),0))</f>
        <v>28436</v>
      </c>
    </row>
    <row r="20" spans="1:16" x14ac:dyDescent="0.3">
      <c r="A20" s="6">
        <v>2019</v>
      </c>
      <c r="B20" s="6" t="s">
        <v>44</v>
      </c>
      <c r="C20" s="6" t="s">
        <v>31</v>
      </c>
      <c r="D20" s="6" t="s">
        <v>118</v>
      </c>
      <c r="E20" s="15">
        <v>30436</v>
      </c>
      <c r="F20" s="13">
        <v>45197</v>
      </c>
      <c r="G20" s="16">
        <f>VLOOKUP(B20,Price_List!$B$4:$C$8,2,FALSE)</f>
        <v>800</v>
      </c>
      <c r="H20" s="17">
        <f>IF(E20&gt;=Settings!$B$15,Settings!$C$15,IF(E20&gt;=Settings!$B$16,Settings!$C$16,IF(E20&gt;=Settings!$B$17,Settings!$C$17,Settings!$C$18)))</f>
        <v>0.1</v>
      </c>
      <c r="I20" s="16">
        <f t="shared" si="0"/>
        <v>3044</v>
      </c>
      <c r="J20" s="16">
        <f t="shared" si="1"/>
        <v>27392</v>
      </c>
      <c r="K20" s="8" t="str">
        <f>IF(OR(E20&gt;=Settings!$B$20,C20=Settings!$B$21),"Eligible","Not Eligible")</f>
        <v>Eligible</v>
      </c>
      <c r="L20" s="5" t="str">
        <f t="shared" si="2"/>
        <v>Person 19|2023-09</v>
      </c>
      <c r="M20" s="8" t="str">
        <f t="shared" si="3"/>
        <v>Sep-2023</v>
      </c>
      <c r="N20" s="16">
        <f>CEILING(J20,Settings!$B$24)</f>
        <v>27400</v>
      </c>
      <c r="O20" s="16">
        <f>FLOOR(J20,Settings!$B$24)</f>
        <v>27390</v>
      </c>
      <c r="P20" s="16">
        <f ca="1">IF(ROWS($E$2:E20)&lt;3,"",ROUND(AVERAGE(OFFSET(E20,-2,0,3,1)),0))</f>
        <v>36823</v>
      </c>
    </row>
    <row r="21" spans="1:16" x14ac:dyDescent="0.3">
      <c r="A21" s="6">
        <v>2020</v>
      </c>
      <c r="B21" s="6" t="s">
        <v>46</v>
      </c>
      <c r="C21" s="6" t="s">
        <v>31</v>
      </c>
      <c r="D21" s="6" t="s">
        <v>119</v>
      </c>
      <c r="E21" s="15">
        <v>33953</v>
      </c>
      <c r="F21" s="13">
        <v>45212</v>
      </c>
      <c r="G21" s="16">
        <f>VLOOKUP(B21,Price_List!$B$4:$C$8,2,FALSE)</f>
        <v>8000</v>
      </c>
      <c r="H21" s="17">
        <f>IF(E21&gt;=Settings!$B$15,Settings!$C$15,IF(E21&gt;=Settings!$B$16,Settings!$C$16,IF(E21&gt;=Settings!$B$17,Settings!$C$17,Settings!$C$18)))</f>
        <v>0.1</v>
      </c>
      <c r="I21" s="16">
        <f t="shared" si="0"/>
        <v>3395</v>
      </c>
      <c r="J21" s="16">
        <f t="shared" si="1"/>
        <v>30558</v>
      </c>
      <c r="K21" s="8" t="str">
        <f>IF(OR(E21&gt;=Settings!$B$20,C21=Settings!$B$21),"Eligible","Not Eligible")</f>
        <v>Eligible</v>
      </c>
      <c r="L21" s="5" t="str">
        <f t="shared" si="2"/>
        <v>Person 20|2023-10</v>
      </c>
      <c r="M21" s="8" t="str">
        <f t="shared" si="3"/>
        <v>Oct-2023</v>
      </c>
      <c r="N21" s="16">
        <f>CEILING(J21,Settings!$B$24)</f>
        <v>30560</v>
      </c>
      <c r="O21" s="16">
        <f>FLOOR(J21,Settings!$B$24)</f>
        <v>30550</v>
      </c>
      <c r="P21" s="16">
        <f ca="1">IF(ROWS($E$2:E21)&lt;3,"",ROUND(AVERAGE(OFFSET(E21,-2,0,3,1)),0))</f>
        <v>34183</v>
      </c>
    </row>
  </sheetData>
  <conditionalFormatting sqref="K2:K21">
    <cfRule type="cellIs" dxfId="1" priority="1" operator="equal">
      <formula>"Eligible"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>
      <pane xSplit="2" ySplit="1" topLeftCell="C2" activePane="bottomRight" state="frozen"/>
      <selection pane="topRight"/>
      <selection pane="bottomLeft"/>
      <selection pane="bottomRight" activeCell="A23" sqref="A23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3" customWidth="1"/>
    <col min="10" max="11" width="10" customWidth="1"/>
    <col min="12" max="15" width="14" customWidth="1"/>
    <col min="16" max="17" width="15" customWidth="1"/>
  </cols>
  <sheetData>
    <row r="1" spans="1:17" ht="30" customHeight="1" x14ac:dyDescent="0.3">
      <c r="A1" s="3" t="s">
        <v>120</v>
      </c>
      <c r="B1" s="3" t="s">
        <v>52</v>
      </c>
      <c r="C1" s="3" t="s">
        <v>121</v>
      </c>
      <c r="D1" s="3" t="s">
        <v>122</v>
      </c>
      <c r="E1" s="3" t="s">
        <v>123</v>
      </c>
      <c r="F1" s="3" t="s">
        <v>124</v>
      </c>
      <c r="G1" s="3" t="s">
        <v>125</v>
      </c>
      <c r="H1" s="3" t="s">
        <v>126</v>
      </c>
      <c r="I1" s="3" t="s">
        <v>127</v>
      </c>
      <c r="J1" s="3" t="s">
        <v>128</v>
      </c>
      <c r="K1" s="3" t="s">
        <v>129</v>
      </c>
      <c r="L1" s="3" t="s">
        <v>130</v>
      </c>
      <c r="M1" s="3" t="s">
        <v>131</v>
      </c>
      <c r="N1" s="3" t="s">
        <v>132</v>
      </c>
      <c r="O1" s="3" t="s">
        <v>133</v>
      </c>
      <c r="P1" s="3" t="s">
        <v>134</v>
      </c>
      <c r="Q1" s="3" t="s">
        <v>135</v>
      </c>
    </row>
    <row r="2" spans="1:17" x14ac:dyDescent="0.3">
      <c r="A2" s="6">
        <v>3001</v>
      </c>
      <c r="B2" s="12" t="s">
        <v>136</v>
      </c>
      <c r="C2" s="6" t="s">
        <v>137</v>
      </c>
      <c r="D2" s="15">
        <v>86766</v>
      </c>
      <c r="E2" s="13">
        <v>42005</v>
      </c>
      <c r="F2" s="8">
        <f t="shared" ref="F2:F21" si="0">YEAR(E2)</f>
        <v>2015</v>
      </c>
      <c r="G2" s="8" t="str">
        <f t="shared" ref="G2:G21" si="1">TEXT(E2,"mmmm")</f>
        <v>January</v>
      </c>
      <c r="H2" s="8" t="str">
        <f t="shared" ref="H2:H21" si="2">TEXT(E2,"dddd")</f>
        <v>Thursday</v>
      </c>
      <c r="I2" s="8" t="str">
        <f t="shared" ref="I2:I21" ca="1" si="3">IF(E2&gt;TODAY(),"Joining Soon","Active")</f>
        <v>Active</v>
      </c>
      <c r="J2" s="8">
        <f t="shared" ref="J2:J21" ca="1" si="4">IF(E2&gt;TODAY(),0,DATEDIF(E2,TODAY(),"y"))</f>
        <v>11</v>
      </c>
      <c r="K2" s="18">
        <f t="shared" ref="K2:K21" ca="1" si="5">MAX(0,TODAY()-E2)</f>
        <v>4305</v>
      </c>
      <c r="L2" s="5" t="str">
        <f t="shared" ref="L2:L21" si="6">LEFT(B2,FIND(" ",B2)-1)</f>
        <v>Employee</v>
      </c>
      <c r="M2" s="5" t="str">
        <f t="shared" ref="M2:M21" si="7">UPPER(B2)</f>
        <v>EMPLOYEE 1</v>
      </c>
      <c r="N2" s="5" t="str">
        <f t="shared" ref="N2:N21" si="8">LOWER(B2)</f>
        <v>employee 1</v>
      </c>
      <c r="O2" s="16">
        <f t="shared" ref="O2:O21" si="9">ROUND(D2/12,0)</f>
        <v>7231</v>
      </c>
      <c r="P2" s="16">
        <f>CEILING(D2,Settings!$B$25)</f>
        <v>87000</v>
      </c>
      <c r="Q2" s="16">
        <f>FLOOR(D2,Settings!$B$25)</f>
        <v>86000</v>
      </c>
    </row>
    <row r="3" spans="1:17" x14ac:dyDescent="0.3">
      <c r="A3" s="6">
        <v>3002</v>
      </c>
      <c r="B3" s="12" t="s">
        <v>138</v>
      </c>
      <c r="C3" s="6" t="s">
        <v>137</v>
      </c>
      <c r="D3" s="15">
        <v>31943</v>
      </c>
      <c r="E3" s="13">
        <v>42255</v>
      </c>
      <c r="F3" s="8">
        <f t="shared" si="0"/>
        <v>2015</v>
      </c>
      <c r="G3" s="8" t="str">
        <f t="shared" si="1"/>
        <v>September</v>
      </c>
      <c r="H3" s="8" t="str">
        <f t="shared" si="2"/>
        <v>Tuesday</v>
      </c>
      <c r="I3" s="8" t="str">
        <f t="shared" ca="1" si="3"/>
        <v>Active</v>
      </c>
      <c r="J3" s="8">
        <f t="shared" ca="1" si="4"/>
        <v>11</v>
      </c>
      <c r="K3" s="18">
        <f t="shared" ca="1" si="5"/>
        <v>4055</v>
      </c>
      <c r="L3" s="5" t="str">
        <f t="shared" si="6"/>
        <v>Employee</v>
      </c>
      <c r="M3" s="5" t="str">
        <f t="shared" si="7"/>
        <v>EMPLOYEE 2</v>
      </c>
      <c r="N3" s="5" t="str">
        <f t="shared" si="8"/>
        <v>employee 2</v>
      </c>
      <c r="O3" s="16">
        <f t="shared" si="9"/>
        <v>2662</v>
      </c>
      <c r="P3" s="16">
        <f>CEILING(D3,Settings!$B$25)</f>
        <v>32000</v>
      </c>
      <c r="Q3" s="16">
        <f>FLOOR(D3,Settings!$B$25)</f>
        <v>31000</v>
      </c>
    </row>
    <row r="4" spans="1:17" x14ac:dyDescent="0.3">
      <c r="A4" s="6">
        <v>3003</v>
      </c>
      <c r="B4" s="12" t="s">
        <v>139</v>
      </c>
      <c r="C4" s="6" t="s">
        <v>140</v>
      </c>
      <c r="D4" s="15">
        <v>63374</v>
      </c>
      <c r="E4" s="13">
        <v>42505</v>
      </c>
      <c r="F4" s="8">
        <f t="shared" si="0"/>
        <v>2016</v>
      </c>
      <c r="G4" s="8" t="str">
        <f t="shared" si="1"/>
        <v>May</v>
      </c>
      <c r="H4" s="8" t="str">
        <f t="shared" si="2"/>
        <v>Sunday</v>
      </c>
      <c r="I4" s="8" t="str">
        <f t="shared" ca="1" si="3"/>
        <v>Active</v>
      </c>
      <c r="J4" s="8">
        <f t="shared" ca="1" si="4"/>
        <v>10</v>
      </c>
      <c r="K4" s="18">
        <f t="shared" ca="1" si="5"/>
        <v>3805</v>
      </c>
      <c r="L4" s="5" t="str">
        <f t="shared" si="6"/>
        <v>Employee</v>
      </c>
      <c r="M4" s="5" t="str">
        <f t="shared" si="7"/>
        <v>EMPLOYEE 3</v>
      </c>
      <c r="N4" s="5" t="str">
        <f t="shared" si="8"/>
        <v>employee 3</v>
      </c>
      <c r="O4" s="16">
        <f t="shared" si="9"/>
        <v>5281</v>
      </c>
      <c r="P4" s="16">
        <f>CEILING(D4,Settings!$B$25)</f>
        <v>64000</v>
      </c>
      <c r="Q4" s="16">
        <f>FLOOR(D4,Settings!$B$25)</f>
        <v>63000</v>
      </c>
    </row>
    <row r="5" spans="1:17" x14ac:dyDescent="0.3">
      <c r="A5" s="6">
        <v>3004</v>
      </c>
      <c r="B5" s="12" t="s">
        <v>141</v>
      </c>
      <c r="C5" s="6" t="s">
        <v>137</v>
      </c>
      <c r="D5" s="15">
        <v>109972</v>
      </c>
      <c r="E5" s="13">
        <v>42755</v>
      </c>
      <c r="F5" s="8">
        <f t="shared" si="0"/>
        <v>2017</v>
      </c>
      <c r="G5" s="8" t="str">
        <f t="shared" si="1"/>
        <v>January</v>
      </c>
      <c r="H5" s="8" t="str">
        <f t="shared" si="2"/>
        <v>Friday</v>
      </c>
      <c r="I5" s="8" t="str">
        <f t="shared" ca="1" si="3"/>
        <v>Active</v>
      </c>
      <c r="J5" s="8">
        <f t="shared" ca="1" si="4"/>
        <v>9</v>
      </c>
      <c r="K5" s="18">
        <f t="shared" ca="1" si="5"/>
        <v>3555</v>
      </c>
      <c r="L5" s="5" t="str">
        <f t="shared" si="6"/>
        <v>Employee</v>
      </c>
      <c r="M5" s="5" t="str">
        <f t="shared" si="7"/>
        <v>EMPLOYEE 4</v>
      </c>
      <c r="N5" s="5" t="str">
        <f t="shared" si="8"/>
        <v>employee 4</v>
      </c>
      <c r="O5" s="16">
        <f t="shared" si="9"/>
        <v>9164</v>
      </c>
      <c r="P5" s="16">
        <f>CEILING(D5,Settings!$B$25)</f>
        <v>110000</v>
      </c>
      <c r="Q5" s="16">
        <f>FLOOR(D5,Settings!$B$25)</f>
        <v>109000</v>
      </c>
    </row>
    <row r="6" spans="1:17" x14ac:dyDescent="0.3">
      <c r="A6" s="6">
        <v>3005</v>
      </c>
      <c r="B6" s="12" t="s">
        <v>142</v>
      </c>
      <c r="C6" s="6" t="s">
        <v>143</v>
      </c>
      <c r="D6" s="15">
        <v>54149</v>
      </c>
      <c r="E6" s="13">
        <v>43005</v>
      </c>
      <c r="F6" s="8">
        <f t="shared" si="0"/>
        <v>2017</v>
      </c>
      <c r="G6" s="8" t="str">
        <f t="shared" si="1"/>
        <v>September</v>
      </c>
      <c r="H6" s="8" t="str">
        <f t="shared" si="2"/>
        <v>Wednesday</v>
      </c>
      <c r="I6" s="8" t="str">
        <f t="shared" ca="1" si="3"/>
        <v>Active</v>
      </c>
      <c r="J6" s="8">
        <f t="shared" ca="1" si="4"/>
        <v>9</v>
      </c>
      <c r="K6" s="18">
        <f t="shared" ca="1" si="5"/>
        <v>3305</v>
      </c>
      <c r="L6" s="5" t="str">
        <f t="shared" si="6"/>
        <v>Employee</v>
      </c>
      <c r="M6" s="5" t="str">
        <f t="shared" si="7"/>
        <v>EMPLOYEE 5</v>
      </c>
      <c r="N6" s="5" t="str">
        <f t="shared" si="8"/>
        <v>employee 5</v>
      </c>
      <c r="O6" s="16">
        <f t="shared" si="9"/>
        <v>4512</v>
      </c>
      <c r="P6" s="16">
        <f>CEILING(D6,Settings!$B$25)</f>
        <v>55000</v>
      </c>
      <c r="Q6" s="16">
        <f>FLOOR(D6,Settings!$B$25)</f>
        <v>54000</v>
      </c>
    </row>
    <row r="7" spans="1:17" x14ac:dyDescent="0.3">
      <c r="A7" s="6">
        <v>3006</v>
      </c>
      <c r="B7" s="12" t="s">
        <v>144</v>
      </c>
      <c r="C7" s="6" t="s">
        <v>143</v>
      </c>
      <c r="D7" s="15">
        <v>78689</v>
      </c>
      <c r="E7" s="13">
        <v>43255</v>
      </c>
      <c r="F7" s="8">
        <f t="shared" si="0"/>
        <v>2018</v>
      </c>
      <c r="G7" s="8" t="str">
        <f t="shared" si="1"/>
        <v>June</v>
      </c>
      <c r="H7" s="8" t="str">
        <f t="shared" si="2"/>
        <v>Monday</v>
      </c>
      <c r="I7" s="8" t="str">
        <f t="shared" ca="1" si="3"/>
        <v>Active</v>
      </c>
      <c r="J7" s="8">
        <f t="shared" ca="1" si="4"/>
        <v>8</v>
      </c>
      <c r="K7" s="18">
        <f t="shared" ca="1" si="5"/>
        <v>3055</v>
      </c>
      <c r="L7" s="5" t="str">
        <f t="shared" si="6"/>
        <v>Employee</v>
      </c>
      <c r="M7" s="5" t="str">
        <f t="shared" si="7"/>
        <v>EMPLOYEE 6</v>
      </c>
      <c r="N7" s="5" t="str">
        <f t="shared" si="8"/>
        <v>employee 6</v>
      </c>
      <c r="O7" s="16">
        <f t="shared" si="9"/>
        <v>6557</v>
      </c>
      <c r="P7" s="16">
        <f>CEILING(D7,Settings!$B$25)</f>
        <v>79000</v>
      </c>
      <c r="Q7" s="16">
        <f>FLOOR(D7,Settings!$B$25)</f>
        <v>78000</v>
      </c>
    </row>
    <row r="8" spans="1:17" x14ac:dyDescent="0.3">
      <c r="A8" s="6">
        <v>3007</v>
      </c>
      <c r="B8" s="12" t="s">
        <v>145</v>
      </c>
      <c r="C8" s="6" t="s">
        <v>146</v>
      </c>
      <c r="D8" s="15">
        <v>35960</v>
      </c>
      <c r="E8" s="13">
        <v>43505</v>
      </c>
      <c r="F8" s="8">
        <f t="shared" si="0"/>
        <v>2019</v>
      </c>
      <c r="G8" s="8" t="str">
        <f t="shared" si="1"/>
        <v>February</v>
      </c>
      <c r="H8" s="8" t="str">
        <f t="shared" si="2"/>
        <v>Saturday</v>
      </c>
      <c r="I8" s="8" t="str">
        <f t="shared" ca="1" si="3"/>
        <v>Active</v>
      </c>
      <c r="J8" s="8">
        <f t="shared" ca="1" si="4"/>
        <v>7</v>
      </c>
      <c r="K8" s="18">
        <f t="shared" ca="1" si="5"/>
        <v>2805</v>
      </c>
      <c r="L8" s="5" t="str">
        <f t="shared" si="6"/>
        <v>Employee</v>
      </c>
      <c r="M8" s="5" t="str">
        <f t="shared" si="7"/>
        <v>EMPLOYEE 7</v>
      </c>
      <c r="N8" s="5" t="str">
        <f t="shared" si="8"/>
        <v>employee 7</v>
      </c>
      <c r="O8" s="16">
        <f t="shared" si="9"/>
        <v>2997</v>
      </c>
      <c r="P8" s="16">
        <f>CEILING(D8,Settings!$B$25)</f>
        <v>36000</v>
      </c>
      <c r="Q8" s="16">
        <f>FLOOR(D8,Settings!$B$25)</f>
        <v>35000</v>
      </c>
    </row>
    <row r="9" spans="1:17" x14ac:dyDescent="0.3">
      <c r="A9" s="6">
        <v>3008</v>
      </c>
      <c r="B9" s="12" t="s">
        <v>147</v>
      </c>
      <c r="C9" s="6" t="s">
        <v>143</v>
      </c>
      <c r="D9" s="15">
        <v>91659</v>
      </c>
      <c r="E9" s="13">
        <v>43755</v>
      </c>
      <c r="F9" s="8">
        <f t="shared" si="0"/>
        <v>2019</v>
      </c>
      <c r="G9" s="8" t="str">
        <f t="shared" si="1"/>
        <v>October</v>
      </c>
      <c r="H9" s="8" t="str">
        <f t="shared" si="2"/>
        <v>Thursday</v>
      </c>
      <c r="I9" s="8" t="str">
        <f t="shared" ca="1" si="3"/>
        <v>Active</v>
      </c>
      <c r="J9" s="8">
        <f t="shared" ca="1" si="4"/>
        <v>6</v>
      </c>
      <c r="K9" s="18">
        <f t="shared" ca="1" si="5"/>
        <v>2555</v>
      </c>
      <c r="L9" s="5" t="str">
        <f t="shared" si="6"/>
        <v>Employee</v>
      </c>
      <c r="M9" s="5" t="str">
        <f t="shared" si="7"/>
        <v>EMPLOYEE 8</v>
      </c>
      <c r="N9" s="5" t="str">
        <f t="shared" si="8"/>
        <v>employee 8</v>
      </c>
      <c r="O9" s="16">
        <f t="shared" si="9"/>
        <v>7638</v>
      </c>
      <c r="P9" s="16">
        <f>CEILING(D9,Settings!$B$25)</f>
        <v>92000</v>
      </c>
      <c r="Q9" s="16">
        <f>FLOOR(D9,Settings!$B$25)</f>
        <v>91000</v>
      </c>
    </row>
    <row r="10" spans="1:17" x14ac:dyDescent="0.3">
      <c r="A10" s="6">
        <v>3009</v>
      </c>
      <c r="B10" s="12" t="s">
        <v>148</v>
      </c>
      <c r="C10" s="6" t="s">
        <v>143</v>
      </c>
      <c r="D10" s="15">
        <v>90423</v>
      </c>
      <c r="E10" s="13">
        <v>44005</v>
      </c>
      <c r="F10" s="8">
        <f t="shared" si="0"/>
        <v>2020</v>
      </c>
      <c r="G10" s="8" t="str">
        <f t="shared" si="1"/>
        <v>June</v>
      </c>
      <c r="H10" s="8" t="str">
        <f t="shared" si="2"/>
        <v>Tuesday</v>
      </c>
      <c r="I10" s="8" t="str">
        <f t="shared" ca="1" si="3"/>
        <v>Active</v>
      </c>
      <c r="J10" s="8">
        <f t="shared" ca="1" si="4"/>
        <v>6</v>
      </c>
      <c r="K10" s="18">
        <f t="shared" ca="1" si="5"/>
        <v>2305</v>
      </c>
      <c r="L10" s="5" t="str">
        <f t="shared" si="6"/>
        <v>Employee</v>
      </c>
      <c r="M10" s="5" t="str">
        <f t="shared" si="7"/>
        <v>EMPLOYEE 9</v>
      </c>
      <c r="N10" s="5" t="str">
        <f t="shared" si="8"/>
        <v>employee 9</v>
      </c>
      <c r="O10" s="16">
        <f t="shared" si="9"/>
        <v>7535</v>
      </c>
      <c r="P10" s="16">
        <f>CEILING(D10,Settings!$B$25)</f>
        <v>91000</v>
      </c>
      <c r="Q10" s="16">
        <f>FLOOR(D10,Settings!$B$25)</f>
        <v>90000</v>
      </c>
    </row>
    <row r="11" spans="1:17" x14ac:dyDescent="0.3">
      <c r="A11" s="6">
        <v>3010</v>
      </c>
      <c r="B11" s="12" t="s">
        <v>149</v>
      </c>
      <c r="C11" s="6" t="s">
        <v>140</v>
      </c>
      <c r="D11" s="15">
        <v>107877</v>
      </c>
      <c r="E11" s="13">
        <v>44255</v>
      </c>
      <c r="F11" s="8">
        <f t="shared" si="0"/>
        <v>2021</v>
      </c>
      <c r="G11" s="8" t="str">
        <f t="shared" si="1"/>
        <v>February</v>
      </c>
      <c r="H11" s="8" t="str">
        <f t="shared" si="2"/>
        <v>Sunday</v>
      </c>
      <c r="I11" s="8" t="str">
        <f t="shared" ca="1" si="3"/>
        <v>Active</v>
      </c>
      <c r="J11" s="8">
        <f t="shared" ca="1" si="4"/>
        <v>5</v>
      </c>
      <c r="K11" s="18">
        <f t="shared" ca="1" si="5"/>
        <v>2055</v>
      </c>
      <c r="L11" s="5" t="str">
        <f t="shared" si="6"/>
        <v>Employee</v>
      </c>
      <c r="M11" s="5" t="str">
        <f t="shared" si="7"/>
        <v>EMPLOYEE 10</v>
      </c>
      <c r="N11" s="5" t="str">
        <f t="shared" si="8"/>
        <v>employee 10</v>
      </c>
      <c r="O11" s="16">
        <f t="shared" si="9"/>
        <v>8990</v>
      </c>
      <c r="P11" s="16">
        <f>CEILING(D11,Settings!$B$25)</f>
        <v>108000</v>
      </c>
      <c r="Q11" s="16">
        <f>FLOOR(D11,Settings!$B$25)</f>
        <v>107000</v>
      </c>
    </row>
    <row r="12" spans="1:17" x14ac:dyDescent="0.3">
      <c r="A12" s="6">
        <v>3011</v>
      </c>
      <c r="B12" s="12" t="s">
        <v>150</v>
      </c>
      <c r="C12" s="6" t="s">
        <v>137</v>
      </c>
      <c r="D12" s="15">
        <v>107634</v>
      </c>
      <c r="E12" s="13">
        <v>44505</v>
      </c>
      <c r="F12" s="8">
        <f t="shared" si="0"/>
        <v>2021</v>
      </c>
      <c r="G12" s="8" t="str">
        <f t="shared" si="1"/>
        <v>November</v>
      </c>
      <c r="H12" s="8" t="str">
        <f t="shared" si="2"/>
        <v>Friday</v>
      </c>
      <c r="I12" s="8" t="str">
        <f t="shared" ca="1" si="3"/>
        <v>Active</v>
      </c>
      <c r="J12" s="8">
        <f t="shared" ca="1" si="4"/>
        <v>4</v>
      </c>
      <c r="K12" s="18">
        <f t="shared" ca="1" si="5"/>
        <v>1805</v>
      </c>
      <c r="L12" s="5" t="str">
        <f t="shared" si="6"/>
        <v>Employee</v>
      </c>
      <c r="M12" s="5" t="str">
        <f t="shared" si="7"/>
        <v>EMPLOYEE 11</v>
      </c>
      <c r="N12" s="5" t="str">
        <f t="shared" si="8"/>
        <v>employee 11</v>
      </c>
      <c r="O12" s="16">
        <f t="shared" si="9"/>
        <v>8970</v>
      </c>
      <c r="P12" s="16">
        <f>CEILING(D12,Settings!$B$25)</f>
        <v>108000</v>
      </c>
      <c r="Q12" s="16">
        <f>FLOOR(D12,Settings!$B$25)</f>
        <v>107000</v>
      </c>
    </row>
    <row r="13" spans="1:17" x14ac:dyDescent="0.3">
      <c r="A13" s="6">
        <v>3012</v>
      </c>
      <c r="B13" s="12" t="s">
        <v>151</v>
      </c>
      <c r="C13" s="6" t="s">
        <v>137</v>
      </c>
      <c r="D13" s="15">
        <v>35226</v>
      </c>
      <c r="E13" s="13">
        <v>44755</v>
      </c>
      <c r="F13" s="8">
        <f t="shared" si="0"/>
        <v>2022</v>
      </c>
      <c r="G13" s="8" t="str">
        <f t="shared" si="1"/>
        <v>July</v>
      </c>
      <c r="H13" s="8" t="str">
        <f t="shared" si="2"/>
        <v>Wednesday</v>
      </c>
      <c r="I13" s="8" t="str">
        <f t="shared" ca="1" si="3"/>
        <v>Active</v>
      </c>
      <c r="J13" s="8">
        <f t="shared" ca="1" si="4"/>
        <v>4</v>
      </c>
      <c r="K13" s="18">
        <f t="shared" ca="1" si="5"/>
        <v>1555</v>
      </c>
      <c r="L13" s="5" t="str">
        <f t="shared" si="6"/>
        <v>Employee</v>
      </c>
      <c r="M13" s="5" t="str">
        <f t="shared" si="7"/>
        <v>EMPLOYEE 12</v>
      </c>
      <c r="N13" s="5" t="str">
        <f t="shared" si="8"/>
        <v>employee 12</v>
      </c>
      <c r="O13" s="16">
        <f t="shared" si="9"/>
        <v>2936</v>
      </c>
      <c r="P13" s="16">
        <f>CEILING(D13,Settings!$B$25)</f>
        <v>36000</v>
      </c>
      <c r="Q13" s="16">
        <f>FLOOR(D13,Settings!$B$25)</f>
        <v>35000</v>
      </c>
    </row>
    <row r="14" spans="1:17" x14ac:dyDescent="0.3">
      <c r="A14" s="6">
        <v>3013</v>
      </c>
      <c r="B14" s="12" t="s">
        <v>152</v>
      </c>
      <c r="C14" s="6" t="s">
        <v>140</v>
      </c>
      <c r="D14" s="15">
        <v>40872</v>
      </c>
      <c r="E14" s="13">
        <v>45005</v>
      </c>
      <c r="F14" s="8">
        <f t="shared" si="0"/>
        <v>2023</v>
      </c>
      <c r="G14" s="8" t="str">
        <f t="shared" si="1"/>
        <v>March</v>
      </c>
      <c r="H14" s="8" t="str">
        <f t="shared" si="2"/>
        <v>Monday</v>
      </c>
      <c r="I14" s="8" t="str">
        <f t="shared" ca="1" si="3"/>
        <v>Active</v>
      </c>
      <c r="J14" s="8">
        <f t="shared" ca="1" si="4"/>
        <v>3</v>
      </c>
      <c r="K14" s="18">
        <f t="shared" ca="1" si="5"/>
        <v>1305</v>
      </c>
      <c r="L14" s="5" t="str">
        <f t="shared" si="6"/>
        <v>Employee</v>
      </c>
      <c r="M14" s="5" t="str">
        <f t="shared" si="7"/>
        <v>EMPLOYEE 13</v>
      </c>
      <c r="N14" s="5" t="str">
        <f t="shared" si="8"/>
        <v>employee 13</v>
      </c>
      <c r="O14" s="16">
        <f t="shared" si="9"/>
        <v>3406</v>
      </c>
      <c r="P14" s="16">
        <f>CEILING(D14,Settings!$B$25)</f>
        <v>41000</v>
      </c>
      <c r="Q14" s="16">
        <f>FLOOR(D14,Settings!$B$25)</f>
        <v>40000</v>
      </c>
    </row>
    <row r="15" spans="1:17" x14ac:dyDescent="0.3">
      <c r="A15" s="6">
        <v>3014</v>
      </c>
      <c r="B15" s="12" t="s">
        <v>153</v>
      </c>
      <c r="C15" s="6" t="s">
        <v>140</v>
      </c>
      <c r="D15" s="15">
        <v>55378</v>
      </c>
      <c r="E15" s="13">
        <v>45255</v>
      </c>
      <c r="F15" s="8">
        <f t="shared" si="0"/>
        <v>2023</v>
      </c>
      <c r="G15" s="8" t="str">
        <f t="shared" si="1"/>
        <v>November</v>
      </c>
      <c r="H15" s="8" t="str">
        <f t="shared" si="2"/>
        <v>Saturday</v>
      </c>
      <c r="I15" s="8" t="str">
        <f t="shared" ca="1" si="3"/>
        <v>Active</v>
      </c>
      <c r="J15" s="8">
        <f t="shared" ca="1" si="4"/>
        <v>2</v>
      </c>
      <c r="K15" s="18">
        <f t="shared" ca="1" si="5"/>
        <v>1055</v>
      </c>
      <c r="L15" s="5" t="str">
        <f t="shared" si="6"/>
        <v>Employee</v>
      </c>
      <c r="M15" s="5" t="str">
        <f t="shared" si="7"/>
        <v>EMPLOYEE 14</v>
      </c>
      <c r="N15" s="5" t="str">
        <f t="shared" si="8"/>
        <v>employee 14</v>
      </c>
      <c r="O15" s="16">
        <f t="shared" si="9"/>
        <v>4615</v>
      </c>
      <c r="P15" s="16">
        <f>CEILING(D15,Settings!$B$25)</f>
        <v>56000</v>
      </c>
      <c r="Q15" s="16">
        <f>FLOOR(D15,Settings!$B$25)</f>
        <v>55000</v>
      </c>
    </row>
    <row r="16" spans="1:17" x14ac:dyDescent="0.3">
      <c r="A16" s="6">
        <v>3015</v>
      </c>
      <c r="B16" s="12" t="s">
        <v>154</v>
      </c>
      <c r="C16" s="6" t="s">
        <v>140</v>
      </c>
      <c r="D16" s="15">
        <v>63297</v>
      </c>
      <c r="E16" s="13">
        <v>45505</v>
      </c>
      <c r="F16" s="8">
        <f t="shared" si="0"/>
        <v>2024</v>
      </c>
      <c r="G16" s="8" t="str">
        <f t="shared" si="1"/>
        <v>August</v>
      </c>
      <c r="H16" s="8" t="str">
        <f t="shared" si="2"/>
        <v>Thursday</v>
      </c>
      <c r="I16" s="8" t="str">
        <f t="shared" ca="1" si="3"/>
        <v>Active</v>
      </c>
      <c r="J16" s="8">
        <f t="shared" ca="1" si="4"/>
        <v>2</v>
      </c>
      <c r="K16" s="18">
        <f t="shared" ca="1" si="5"/>
        <v>805</v>
      </c>
      <c r="L16" s="5" t="str">
        <f t="shared" si="6"/>
        <v>Employee</v>
      </c>
      <c r="M16" s="5" t="str">
        <f t="shared" si="7"/>
        <v>EMPLOYEE 15</v>
      </c>
      <c r="N16" s="5" t="str">
        <f t="shared" si="8"/>
        <v>employee 15</v>
      </c>
      <c r="O16" s="16">
        <f t="shared" si="9"/>
        <v>5275</v>
      </c>
      <c r="P16" s="16">
        <f>CEILING(D16,Settings!$B$25)</f>
        <v>64000</v>
      </c>
      <c r="Q16" s="16">
        <f>FLOOR(D16,Settings!$B$25)</f>
        <v>63000</v>
      </c>
    </row>
    <row r="17" spans="1:17" x14ac:dyDescent="0.3">
      <c r="A17" s="6">
        <v>3016</v>
      </c>
      <c r="B17" s="12" t="s">
        <v>155</v>
      </c>
      <c r="C17" s="6" t="s">
        <v>137</v>
      </c>
      <c r="D17" s="15">
        <v>114173</v>
      </c>
      <c r="E17" s="13">
        <v>45755</v>
      </c>
      <c r="F17" s="8">
        <f t="shared" si="0"/>
        <v>2025</v>
      </c>
      <c r="G17" s="8" t="str">
        <f t="shared" si="1"/>
        <v>April</v>
      </c>
      <c r="H17" s="8" t="str">
        <f t="shared" si="2"/>
        <v>Tuesday</v>
      </c>
      <c r="I17" s="8" t="str">
        <f t="shared" ca="1" si="3"/>
        <v>Active</v>
      </c>
      <c r="J17" s="8">
        <f t="shared" ca="1" si="4"/>
        <v>1</v>
      </c>
      <c r="K17" s="18">
        <f t="shared" ca="1" si="5"/>
        <v>555</v>
      </c>
      <c r="L17" s="5" t="str">
        <f t="shared" si="6"/>
        <v>Employee</v>
      </c>
      <c r="M17" s="5" t="str">
        <f t="shared" si="7"/>
        <v>EMPLOYEE 16</v>
      </c>
      <c r="N17" s="5" t="str">
        <f t="shared" si="8"/>
        <v>employee 16</v>
      </c>
      <c r="O17" s="16">
        <f t="shared" si="9"/>
        <v>9514</v>
      </c>
      <c r="P17" s="16">
        <f>CEILING(D17,Settings!$B$25)</f>
        <v>115000</v>
      </c>
      <c r="Q17" s="16">
        <f>FLOOR(D17,Settings!$B$25)</f>
        <v>114000</v>
      </c>
    </row>
    <row r="18" spans="1:17" x14ac:dyDescent="0.3">
      <c r="A18" s="6">
        <v>3017</v>
      </c>
      <c r="B18" s="12" t="s">
        <v>156</v>
      </c>
      <c r="C18" s="6" t="s">
        <v>140</v>
      </c>
      <c r="D18" s="15">
        <v>86915</v>
      </c>
      <c r="E18" s="13">
        <v>46005</v>
      </c>
      <c r="F18" s="8">
        <f t="shared" si="0"/>
        <v>2025</v>
      </c>
      <c r="G18" s="8" t="str">
        <f t="shared" si="1"/>
        <v>December</v>
      </c>
      <c r="H18" s="8" t="str">
        <f t="shared" si="2"/>
        <v>Sunday</v>
      </c>
      <c r="I18" s="8" t="str">
        <f t="shared" ca="1" si="3"/>
        <v>Active</v>
      </c>
      <c r="J18" s="8">
        <f t="shared" ca="1" si="4"/>
        <v>0</v>
      </c>
      <c r="K18" s="18">
        <f t="shared" ca="1" si="5"/>
        <v>305</v>
      </c>
      <c r="L18" s="5" t="str">
        <f t="shared" si="6"/>
        <v>Employee</v>
      </c>
      <c r="M18" s="5" t="str">
        <f t="shared" si="7"/>
        <v>EMPLOYEE 17</v>
      </c>
      <c r="N18" s="5" t="str">
        <f t="shared" si="8"/>
        <v>employee 17</v>
      </c>
      <c r="O18" s="16">
        <f t="shared" si="9"/>
        <v>7243</v>
      </c>
      <c r="P18" s="16">
        <f>CEILING(D18,Settings!$B$25)</f>
        <v>87000</v>
      </c>
      <c r="Q18" s="16">
        <f>FLOOR(D18,Settings!$B$25)</f>
        <v>86000</v>
      </c>
    </row>
    <row r="19" spans="1:17" x14ac:dyDescent="0.3">
      <c r="A19" s="6">
        <v>3018</v>
      </c>
      <c r="B19" s="12" t="s">
        <v>157</v>
      </c>
      <c r="C19" s="6" t="s">
        <v>143</v>
      </c>
      <c r="D19" s="15">
        <v>116284</v>
      </c>
      <c r="E19" s="13">
        <v>46255</v>
      </c>
      <c r="F19" s="8">
        <f t="shared" si="0"/>
        <v>2026</v>
      </c>
      <c r="G19" s="8" t="str">
        <f t="shared" si="1"/>
        <v>August</v>
      </c>
      <c r="H19" s="8" t="str">
        <f t="shared" si="2"/>
        <v>Friday</v>
      </c>
      <c r="I19" s="8" t="str">
        <f t="shared" ca="1" si="3"/>
        <v>Active</v>
      </c>
      <c r="J19" s="8">
        <f t="shared" ca="1" si="4"/>
        <v>0</v>
      </c>
      <c r="K19" s="18">
        <f t="shared" ca="1" si="5"/>
        <v>55</v>
      </c>
      <c r="L19" s="5" t="str">
        <f t="shared" si="6"/>
        <v>Employee</v>
      </c>
      <c r="M19" s="5" t="str">
        <f t="shared" si="7"/>
        <v>EMPLOYEE 18</v>
      </c>
      <c r="N19" s="5" t="str">
        <f t="shared" si="8"/>
        <v>employee 18</v>
      </c>
      <c r="O19" s="16">
        <f t="shared" si="9"/>
        <v>9690</v>
      </c>
      <c r="P19" s="16">
        <f>CEILING(D19,Settings!$B$25)</f>
        <v>117000</v>
      </c>
      <c r="Q19" s="16">
        <f>FLOOR(D19,Settings!$B$25)</f>
        <v>116000</v>
      </c>
    </row>
    <row r="20" spans="1:17" x14ac:dyDescent="0.3">
      <c r="A20" s="6">
        <v>3019</v>
      </c>
      <c r="B20" s="12" t="s">
        <v>158</v>
      </c>
      <c r="C20" s="6" t="s">
        <v>146</v>
      </c>
      <c r="D20" s="15">
        <v>116283</v>
      </c>
      <c r="E20" s="13">
        <v>46505</v>
      </c>
      <c r="F20" s="8">
        <f t="shared" si="0"/>
        <v>2027</v>
      </c>
      <c r="G20" s="8" t="str">
        <f t="shared" si="1"/>
        <v>April</v>
      </c>
      <c r="H20" s="8" t="str">
        <f t="shared" si="2"/>
        <v>Wednesday</v>
      </c>
      <c r="I20" s="8" t="str">
        <f t="shared" ca="1" si="3"/>
        <v>Joining Soon</v>
      </c>
      <c r="J20" s="8">
        <f t="shared" ca="1" si="4"/>
        <v>0</v>
      </c>
      <c r="K20" s="18">
        <f t="shared" ca="1" si="5"/>
        <v>0</v>
      </c>
      <c r="L20" s="5" t="str">
        <f t="shared" si="6"/>
        <v>Employee</v>
      </c>
      <c r="M20" s="5" t="str">
        <f t="shared" si="7"/>
        <v>EMPLOYEE 19</v>
      </c>
      <c r="N20" s="5" t="str">
        <f t="shared" si="8"/>
        <v>employee 19</v>
      </c>
      <c r="O20" s="16">
        <f t="shared" si="9"/>
        <v>9690</v>
      </c>
      <c r="P20" s="16">
        <f>CEILING(D20,Settings!$B$25)</f>
        <v>117000</v>
      </c>
      <c r="Q20" s="16">
        <f>FLOOR(D20,Settings!$B$25)</f>
        <v>116000</v>
      </c>
    </row>
    <row r="21" spans="1:17" x14ac:dyDescent="0.3">
      <c r="A21" s="6">
        <v>3020</v>
      </c>
      <c r="B21" s="12" t="s">
        <v>159</v>
      </c>
      <c r="C21" s="6" t="s">
        <v>146</v>
      </c>
      <c r="D21" s="15">
        <v>99924</v>
      </c>
      <c r="E21" s="13">
        <v>46755</v>
      </c>
      <c r="F21" s="8">
        <f t="shared" si="0"/>
        <v>2028</v>
      </c>
      <c r="G21" s="8" t="str">
        <f t="shared" si="1"/>
        <v>January</v>
      </c>
      <c r="H21" s="8" t="str">
        <f t="shared" si="2"/>
        <v>Monday</v>
      </c>
      <c r="I21" s="8" t="str">
        <f t="shared" ca="1" si="3"/>
        <v>Joining Soon</v>
      </c>
      <c r="J21" s="8">
        <f t="shared" ca="1" si="4"/>
        <v>0</v>
      </c>
      <c r="K21" s="18">
        <f t="shared" ca="1" si="5"/>
        <v>0</v>
      </c>
      <c r="L21" s="5" t="str">
        <f t="shared" si="6"/>
        <v>Employee</v>
      </c>
      <c r="M21" s="5" t="str">
        <f t="shared" si="7"/>
        <v>EMPLOYEE 20</v>
      </c>
      <c r="N21" s="5" t="str">
        <f t="shared" si="8"/>
        <v>employee 20</v>
      </c>
      <c r="O21" s="16">
        <f t="shared" si="9"/>
        <v>8327</v>
      </c>
      <c r="P21" s="16">
        <f>CEILING(D21,Settings!$B$25)</f>
        <v>100000</v>
      </c>
      <c r="Q21" s="16">
        <f>FLOOR(D21,Settings!$B$25)</f>
        <v>99000</v>
      </c>
    </row>
    <row r="23" spans="1:17" x14ac:dyDescent="0.3">
      <c r="A23" s="2"/>
    </row>
  </sheetData>
  <conditionalFormatting sqref="I2:I21">
    <cfRule type="cellIs" dxfId="0" priority="1" operator="equal">
      <formula>"Joining Soon"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3"/>
  <sheetViews>
    <sheetView showGridLines="0" tabSelected="1" workbookViewId="0">
      <pane ySplit="4" topLeftCell="A35" activePane="bottomLeft" state="frozen"/>
      <selection pane="bottomLeft"/>
    </sheetView>
  </sheetViews>
  <sheetFormatPr defaultRowHeight="14.4" x14ac:dyDescent="0.3"/>
  <cols>
    <col min="1" max="1" width="58" customWidth="1"/>
    <col min="2" max="3" width="14" customWidth="1"/>
    <col min="4" max="5" width="16" customWidth="1"/>
    <col min="6" max="6" width="58" customWidth="1"/>
  </cols>
  <sheetData>
    <row r="1" spans="1:6" ht="17.399999999999999" x14ac:dyDescent="0.3">
      <c r="A1" s="1" t="s">
        <v>160</v>
      </c>
    </row>
    <row r="2" spans="1:6" x14ac:dyDescent="0.3">
      <c r="A2" s="2"/>
    </row>
    <row r="4" spans="1:6" ht="30" customHeight="1" x14ac:dyDescent="0.3">
      <c r="A4" s="3" t="s">
        <v>2</v>
      </c>
      <c r="B4" s="3" t="s">
        <v>161</v>
      </c>
      <c r="C4" s="3" t="s">
        <v>162</v>
      </c>
      <c r="D4" s="3" t="s">
        <v>163</v>
      </c>
      <c r="E4" s="3"/>
      <c r="F4" s="3"/>
    </row>
    <row r="5" spans="1:6" x14ac:dyDescent="0.3">
      <c r="A5" s="19" t="s">
        <v>164</v>
      </c>
      <c r="B5" s="19"/>
      <c r="C5" s="19"/>
      <c r="D5" s="19"/>
      <c r="E5" s="19"/>
      <c r="F5" s="19"/>
    </row>
    <row r="6" spans="1:6" x14ac:dyDescent="0.3">
      <c r="A6" s="5" t="s">
        <v>165</v>
      </c>
      <c r="B6" s="7">
        <v>60</v>
      </c>
      <c r="C6" s="5"/>
      <c r="D6" s="20">
        <f>COUNTIFS(Students!$C$2:$C$21,"&gt;"&amp;B6)</f>
        <v>19</v>
      </c>
      <c r="E6" s="8"/>
      <c r="F6" s="21"/>
    </row>
    <row r="7" spans="1:6" x14ac:dyDescent="0.3">
      <c r="A7" s="5" t="s">
        <v>166</v>
      </c>
      <c r="B7" s="7">
        <v>60</v>
      </c>
      <c r="C7" s="5"/>
      <c r="D7" s="20">
        <f>COUNTIFS(Students!$C$2:$C$21,"&gt;"&amp;B7,Students!$D$2:$D$21,"&gt;"&amp;B7,Students!$E$2:$E$21,"&gt;"&amp;B7)</f>
        <v>6</v>
      </c>
      <c r="E7" s="8"/>
      <c r="F7" s="21"/>
    </row>
    <row r="8" spans="1:6" x14ac:dyDescent="0.3">
      <c r="A8" s="5" t="s">
        <v>167</v>
      </c>
      <c r="B8" s="7">
        <v>50</v>
      </c>
      <c r="C8" s="5"/>
      <c r="D8" s="20">
        <f>COUNTIFS(Students!$C$2:$C$21,"&gt;"&amp;B8)</f>
        <v>19</v>
      </c>
      <c r="E8" s="8"/>
      <c r="F8" s="21"/>
    </row>
    <row r="9" spans="1:6" x14ac:dyDescent="0.3">
      <c r="A9" s="5" t="s">
        <v>168</v>
      </c>
      <c r="B9" s="7" t="s">
        <v>101</v>
      </c>
      <c r="C9" s="7" t="s">
        <v>42</v>
      </c>
      <c r="D9" s="22">
        <f>SUMIFS(Sales!$E$2:$E$21,Sales!$C$2:$C$21,B9,Sales!$B$2:$B$21,C9)</f>
        <v>80349</v>
      </c>
      <c r="E9" s="8"/>
      <c r="F9" s="21"/>
    </row>
    <row r="10" spans="1:6" x14ac:dyDescent="0.3">
      <c r="A10" s="5" t="s">
        <v>169</v>
      </c>
      <c r="B10" s="7">
        <v>60</v>
      </c>
      <c r="C10" s="5"/>
      <c r="D10" s="23">
        <f>AVERAGEIFS(Students!$C$2:$C$21,Students!$C$2:$C$21,"&gt;"&amp;B10)</f>
        <v>82.263157894736835</v>
      </c>
      <c r="E10" s="8"/>
      <c r="F10" s="21"/>
    </row>
    <row r="11" spans="1:6" x14ac:dyDescent="0.3">
      <c r="A11" s="5" t="s">
        <v>170</v>
      </c>
      <c r="B11" s="7">
        <v>60</v>
      </c>
      <c r="C11" s="5"/>
      <c r="D11" s="23">
        <f>AVERAGEIFS(Students!$H$2:$H$21,Students!$H$2:$H$21,"&gt;"&amp;B11)</f>
        <v>73.625000000000014</v>
      </c>
      <c r="E11" s="8"/>
      <c r="F11" s="21"/>
    </row>
    <row r="12" spans="1:6" x14ac:dyDescent="0.3">
      <c r="A12" s="5" t="s">
        <v>171</v>
      </c>
      <c r="B12" s="7" t="s">
        <v>143</v>
      </c>
      <c r="C12" s="24">
        <v>90000</v>
      </c>
      <c r="D12" s="20">
        <f>COUNTIFS(Employees!$C$2:$C$21,B12,Employees!$D$2:$D$21,"&gt;"&amp;C12)</f>
        <v>3</v>
      </c>
      <c r="E12" s="8"/>
      <c r="F12" s="21"/>
    </row>
    <row r="13" spans="1:6" x14ac:dyDescent="0.3">
      <c r="A13" s="5" t="s">
        <v>172</v>
      </c>
      <c r="B13" s="7" t="s">
        <v>140</v>
      </c>
      <c r="C13" s="5"/>
      <c r="D13" s="22">
        <f>AVERAGEIFS(Employees!$D$2:$D$21,Employees!$C$2:$C$21,B13)</f>
        <v>69618.833333333328</v>
      </c>
      <c r="E13" s="8"/>
      <c r="F13" s="21"/>
    </row>
    <row r="15" spans="1:6" x14ac:dyDescent="0.3">
      <c r="A15" s="19" t="s">
        <v>173</v>
      </c>
      <c r="B15" s="19"/>
      <c r="C15" s="19"/>
      <c r="D15" s="19"/>
      <c r="E15" s="19"/>
      <c r="F15" s="19"/>
    </row>
    <row r="16" spans="1:6" x14ac:dyDescent="0.3">
      <c r="A16" s="5" t="s">
        <v>174</v>
      </c>
      <c r="B16" s="7">
        <v>1005</v>
      </c>
      <c r="C16" s="5"/>
      <c r="D16" s="20" t="str">
        <f>VLOOKUP(B16,Students!$A$2:$B$21,2,FALSE)</f>
        <v>Student 5</v>
      </c>
      <c r="E16" s="8"/>
      <c r="F16" s="21"/>
    </row>
    <row r="17" spans="1:6" x14ac:dyDescent="0.3">
      <c r="A17" s="5" t="s">
        <v>175</v>
      </c>
      <c r="B17" s="7" t="s">
        <v>45</v>
      </c>
      <c r="C17" s="5"/>
      <c r="D17" s="22">
        <f>VLOOKUP(B17,Price_List!$A$4:$C$8,3,FALSE)</f>
        <v>8000</v>
      </c>
      <c r="E17" s="8"/>
      <c r="F17" s="21"/>
    </row>
    <row r="18" spans="1:6" x14ac:dyDescent="0.3">
      <c r="A18" s="5" t="s">
        <v>176</v>
      </c>
      <c r="B18" s="7" t="s">
        <v>50</v>
      </c>
      <c r="C18" s="5"/>
      <c r="D18" s="22">
        <f>VLOOKUP(B18,Price_List!$B$4:$C$8,2,FALSE)</f>
        <v>45000</v>
      </c>
      <c r="E18" s="8"/>
      <c r="F18" s="21"/>
    </row>
    <row r="20" spans="1:6" x14ac:dyDescent="0.3">
      <c r="A20" s="19" t="s">
        <v>177</v>
      </c>
      <c r="B20" s="19"/>
      <c r="C20" s="19"/>
      <c r="D20" s="19"/>
      <c r="E20" s="19"/>
      <c r="F20" s="19"/>
    </row>
    <row r="21" spans="1:6" x14ac:dyDescent="0.3">
      <c r="A21" s="5" t="s">
        <v>178</v>
      </c>
      <c r="B21" s="7" t="s">
        <v>104</v>
      </c>
      <c r="C21" s="25">
        <v>44986</v>
      </c>
      <c r="D21" s="22">
        <f>IFERROR(INDEX(Sales!$E$2:$E$21,MATCH(B21&amp;"|"&amp;TEXT(C21,"yyyy-mm"),Sales!$L$2:$L$21,0)),"No sale")</f>
        <v>43388</v>
      </c>
      <c r="E21" s="8"/>
      <c r="F21" s="21"/>
    </row>
    <row r="22" spans="1:6" x14ac:dyDescent="0.3">
      <c r="A22" s="5" t="s">
        <v>179</v>
      </c>
      <c r="B22" s="7">
        <v>3008</v>
      </c>
      <c r="C22" s="5"/>
      <c r="D22" s="20"/>
      <c r="E22" s="8"/>
      <c r="F22" s="21"/>
    </row>
    <row r="23" spans="1:6" x14ac:dyDescent="0.3">
      <c r="A23" s="5" t="s">
        <v>180</v>
      </c>
      <c r="B23" s="7" t="s">
        <v>52</v>
      </c>
      <c r="C23" s="5"/>
      <c r="D23" s="20" t="str">
        <f>INDEX(Employees!$A$2:$E$21,MATCH($B$22,Employees!$A$2:$A$21,0),MATCH(B23,Employees!$A$1:$E$1,0))</f>
        <v>Employee 8</v>
      </c>
      <c r="E23" s="8"/>
      <c r="F23" s="21"/>
    </row>
    <row r="24" spans="1:6" x14ac:dyDescent="0.3">
      <c r="A24" s="5" t="s">
        <v>180</v>
      </c>
      <c r="B24" s="7" t="s">
        <v>121</v>
      </c>
      <c r="C24" s="5"/>
      <c r="D24" s="20" t="str">
        <f>INDEX(Employees!$A$2:$E$21,MATCH($B$22,Employees!$A$2:$A$21,0),MATCH(B24,Employees!$A$1:$E$1,0))</f>
        <v>IT</v>
      </c>
      <c r="E24" s="8"/>
      <c r="F24" s="21"/>
    </row>
    <row r="25" spans="1:6" x14ac:dyDescent="0.3">
      <c r="A25" s="5" t="s">
        <v>180</v>
      </c>
      <c r="B25" s="7" t="s">
        <v>122</v>
      </c>
      <c r="C25" s="5"/>
      <c r="D25" s="22">
        <f>INDEX(Employees!$A$2:$E$21,MATCH($B$22,Employees!$A$2:$A$21,0),MATCH(B25,Employees!$A$1:$E$1,0))</f>
        <v>91659</v>
      </c>
      <c r="E25" s="8"/>
      <c r="F25" s="21"/>
    </row>
    <row r="26" spans="1:6" x14ac:dyDescent="0.3">
      <c r="A26" s="5" t="s">
        <v>180</v>
      </c>
      <c r="B26" s="7" t="s">
        <v>123</v>
      </c>
      <c r="C26" s="5"/>
      <c r="D26" s="26">
        <f>INDEX(Employees!$A$2:$E$21,MATCH($B$22,Employees!$A$2:$A$21,0),MATCH(B26,Employees!$A$1:$E$1,0))</f>
        <v>43755</v>
      </c>
      <c r="E26" s="8"/>
      <c r="F26" s="21"/>
    </row>
    <row r="28" spans="1:6" x14ac:dyDescent="0.3">
      <c r="A28" s="19" t="s">
        <v>181</v>
      </c>
      <c r="B28" s="19"/>
      <c r="C28" s="19"/>
      <c r="D28" s="19"/>
      <c r="E28" s="19"/>
      <c r="F28" s="19"/>
    </row>
    <row r="29" spans="1:6" x14ac:dyDescent="0.3">
      <c r="A29" s="5" t="s">
        <v>182</v>
      </c>
      <c r="B29" s="7" t="s">
        <v>107</v>
      </c>
      <c r="C29" s="5"/>
      <c r="D29" s="22">
        <f>_xlfn.XLOOKUP(B29,Sales!$D$2:$D$21,Sales!$E$2:$E$21,"Not found")</f>
        <v>46429</v>
      </c>
      <c r="E29" s="27"/>
      <c r="F29" s="21"/>
    </row>
    <row r="30" spans="1:6" x14ac:dyDescent="0.3">
      <c r="A30" s="5" t="s">
        <v>183</v>
      </c>
      <c r="B30" s="7">
        <v>2012</v>
      </c>
      <c r="C30" s="5"/>
      <c r="D30" s="20" t="str">
        <f>_xlfn.XLOOKUP(B30,Sales!$A$2:$A$21,Sales!$C$2:$C$21,"Not found")</f>
        <v>North</v>
      </c>
      <c r="E30" s="8"/>
      <c r="F30" s="21"/>
    </row>
    <row r="31" spans="1:6" x14ac:dyDescent="0.3">
      <c r="A31" s="5" t="s">
        <v>184</v>
      </c>
      <c r="B31" s="7">
        <v>3016</v>
      </c>
      <c r="C31" s="5"/>
      <c r="D31" s="22">
        <f>_xlfn.XLOOKUP(B31,Employees!$A$2:$A$21,Employees!$D$2:$D$21,"Not found")</f>
        <v>114173</v>
      </c>
      <c r="E31" s="27"/>
      <c r="F31" s="21"/>
    </row>
    <row r="32" spans="1:6" x14ac:dyDescent="0.3">
      <c r="A32" s="5" t="s">
        <v>185</v>
      </c>
      <c r="B32" s="7" t="s">
        <v>151</v>
      </c>
      <c r="C32" s="5"/>
      <c r="D32" s="22">
        <f>_xlfn.XLOOKUP(B32,Employees!$B$2:$B$21,Employees!$D$2:$D$21,"Not found")</f>
        <v>35226</v>
      </c>
      <c r="E32" s="27"/>
      <c r="F32" s="21"/>
    </row>
    <row r="33" spans="1:6" x14ac:dyDescent="0.3">
      <c r="A33" s="5" t="s">
        <v>186</v>
      </c>
      <c r="B33" s="7">
        <v>9999</v>
      </c>
      <c r="C33" s="5"/>
      <c r="D33" s="20" t="str">
        <f>_xlfn.XLOOKUP(B33,Employees!$A$2:$A$21,Employees!$D$2:$D$21,"Not found")</f>
        <v>Not found</v>
      </c>
      <c r="E33" s="8"/>
      <c r="F33" s="21"/>
    </row>
    <row r="35" spans="1:6" x14ac:dyDescent="0.3">
      <c r="A35" s="19" t="s">
        <v>187</v>
      </c>
      <c r="B35" s="19"/>
      <c r="C35" s="19"/>
      <c r="D35" s="19"/>
      <c r="E35" s="19"/>
      <c r="F35" s="19"/>
    </row>
    <row r="36" spans="1:6" x14ac:dyDescent="0.3">
      <c r="A36" s="5" t="s">
        <v>188</v>
      </c>
      <c r="B36" s="7" t="s">
        <v>50</v>
      </c>
      <c r="C36" s="5"/>
      <c r="D36" s="20">
        <f>_xlfn.XMATCH(B36,Sales!$B$2:$B$21)</f>
        <v>13</v>
      </c>
      <c r="E36" s="8"/>
      <c r="F36" s="21"/>
    </row>
    <row r="37" spans="1:6" x14ac:dyDescent="0.3">
      <c r="A37" s="5" t="s">
        <v>189</v>
      </c>
      <c r="B37" s="7" t="s">
        <v>50</v>
      </c>
      <c r="C37" s="5"/>
      <c r="D37" s="20">
        <f>_xlfn.XMATCH(B37,Sales!$B$2:$B$21,0,-1)</f>
        <v>15</v>
      </c>
      <c r="E37" s="8"/>
      <c r="F37" s="21"/>
    </row>
    <row r="39" spans="1:6" x14ac:dyDescent="0.3">
      <c r="A39" s="19" t="s">
        <v>190</v>
      </c>
      <c r="B39" s="19"/>
      <c r="C39" s="19"/>
      <c r="D39" s="19"/>
      <c r="E39" s="19"/>
      <c r="F39" s="19"/>
    </row>
    <row r="40" spans="1:6" x14ac:dyDescent="0.3">
      <c r="A40" s="5" t="s">
        <v>191</v>
      </c>
      <c r="B40" s="7" t="s">
        <v>0</v>
      </c>
      <c r="C40" s="7" t="s">
        <v>192</v>
      </c>
      <c r="D40" s="22">
        <f ca="1">SUM(INDIRECT(B40&amp;"!"&amp;C40&amp;"2:"&amp;C40&amp;"21"))</f>
        <v>507725</v>
      </c>
      <c r="E40" s="8"/>
      <c r="F40" s="21"/>
    </row>
    <row r="41" spans="1:6" x14ac:dyDescent="0.3">
      <c r="A41" s="5" t="s">
        <v>193</v>
      </c>
      <c r="B41" s="7" t="s">
        <v>1</v>
      </c>
      <c r="C41" s="7" t="s">
        <v>12</v>
      </c>
      <c r="D41" s="22">
        <f ca="1">AVERAGE(INDIRECT(B41&amp;"!"&amp;C41&amp;"2:"&amp;C41&amp;"21"))</f>
        <v>79339.899999999994</v>
      </c>
      <c r="E41" s="8"/>
      <c r="F41" s="21"/>
    </row>
    <row r="42" spans="1:6" x14ac:dyDescent="0.3">
      <c r="A42" s="5" t="s">
        <v>194</v>
      </c>
      <c r="B42" s="7">
        <v>5</v>
      </c>
      <c r="C42" s="5"/>
      <c r="D42" s="20" t="str">
        <f ca="1">INDIRECT("Students!B"&amp;B42)</f>
        <v>Student 4</v>
      </c>
      <c r="E42" s="8"/>
      <c r="F42" s="21"/>
    </row>
    <row r="44" spans="1:6" x14ac:dyDescent="0.3">
      <c r="A44" s="19" t="s">
        <v>195</v>
      </c>
      <c r="B44" s="19"/>
      <c r="C44" s="19"/>
      <c r="D44" s="19"/>
      <c r="E44" s="19"/>
      <c r="F44" s="19"/>
    </row>
    <row r="45" spans="1:6" x14ac:dyDescent="0.3">
      <c r="A45" s="5" t="s">
        <v>196</v>
      </c>
      <c r="B45" s="7">
        <v>5</v>
      </c>
      <c r="C45" s="5"/>
      <c r="D45" s="22">
        <f ca="1">SUM(OFFSET(Sales!$E$1,COUNT(Sales!$E$2:$E$21)-B45+1,0,B45,1))</f>
        <v>149698</v>
      </c>
      <c r="E45" s="27"/>
      <c r="F45" s="21"/>
    </row>
    <row r="46" spans="1:6" x14ac:dyDescent="0.3">
      <c r="A46" s="5" t="s">
        <v>197</v>
      </c>
      <c r="B46" s="7">
        <v>6</v>
      </c>
      <c r="C46" s="7">
        <v>3</v>
      </c>
      <c r="D46" s="22">
        <f ca="1">AVERAGE(OFFSET(Sales!$E$1,B46,0,C46,1))</f>
        <v>32748</v>
      </c>
      <c r="E46" s="8"/>
      <c r="F46" s="21"/>
    </row>
    <row r="48" spans="1:6" x14ac:dyDescent="0.3">
      <c r="A48" s="19" t="s">
        <v>198</v>
      </c>
      <c r="B48" s="19"/>
      <c r="C48" s="19"/>
      <c r="D48" s="19"/>
      <c r="E48" s="19"/>
      <c r="F48" s="19"/>
    </row>
    <row r="49" spans="1:6" x14ac:dyDescent="0.3">
      <c r="A49" s="5" t="s">
        <v>199</v>
      </c>
      <c r="B49" s="28">
        <v>34926</v>
      </c>
      <c r="C49" s="5"/>
      <c r="D49" s="20">
        <f ca="1">DATEDIF(B49,TODAY(),"y")</f>
        <v>31</v>
      </c>
      <c r="E49" s="8"/>
      <c r="F49" s="21"/>
    </row>
    <row r="50" spans="1:6" x14ac:dyDescent="0.3">
      <c r="A50" s="5" t="s">
        <v>200</v>
      </c>
      <c r="B50" s="28">
        <v>44927</v>
      </c>
      <c r="C50" s="28">
        <v>45212</v>
      </c>
      <c r="D50" s="29">
        <f>C50-B50</f>
        <v>285</v>
      </c>
      <c r="E50" s="8"/>
      <c r="F50" s="21"/>
    </row>
    <row r="51" spans="1:6" x14ac:dyDescent="0.3">
      <c r="A51" s="5" t="s">
        <v>201</v>
      </c>
      <c r="B51" s="30">
        <f>B50</f>
        <v>44927</v>
      </c>
      <c r="C51" s="30">
        <f>C50</f>
        <v>45212</v>
      </c>
      <c r="D51" s="20">
        <f>NETWORKDAYS(B51,C51)</f>
        <v>205</v>
      </c>
      <c r="E51" s="8"/>
      <c r="F51" s="21"/>
    </row>
    <row r="52" spans="1:6" x14ac:dyDescent="0.3">
      <c r="A52" s="5" t="s">
        <v>202</v>
      </c>
      <c r="B52" s="7">
        <v>3005</v>
      </c>
      <c r="C52" s="5"/>
      <c r="D52" s="20">
        <f ca="1">INDEX(Employees!$J$2:$J$21,MATCH(B52,Employees!$A$2:$A$21,0))</f>
        <v>9</v>
      </c>
      <c r="E52" s="8"/>
      <c r="F52" s="21"/>
    </row>
    <row r="53" spans="1:6" x14ac:dyDescent="0.3">
      <c r="A53" s="5" t="s">
        <v>203</v>
      </c>
      <c r="B53" s="31">
        <v>2025</v>
      </c>
      <c r="C53" s="5"/>
      <c r="D53" s="20">
        <f>COUNTIFS(Employees!$F$2:$F$21,B53)</f>
        <v>2</v>
      </c>
      <c r="E53" s="8"/>
      <c r="F53" s="21"/>
    </row>
    <row r="54" spans="1:6" x14ac:dyDescent="0.3">
      <c r="A54" s="5" t="s">
        <v>204</v>
      </c>
      <c r="B54" s="5"/>
      <c r="C54" s="5"/>
      <c r="D54" s="32">
        <f ca="1">ROUND(AVERAGEIFS(Employees!$J$2:$J$21,Employees!$I$2:$I$21,"Active"),1)</f>
        <v>5.4</v>
      </c>
      <c r="E54" s="8"/>
      <c r="F54" s="21"/>
    </row>
    <row r="55" spans="1:6" x14ac:dyDescent="0.3">
      <c r="A55" s="5" t="s">
        <v>205</v>
      </c>
      <c r="B55" s="5"/>
      <c r="C55" s="5"/>
      <c r="D55" s="20">
        <f ca="1">COUNTIF(Employees!$I$2:$I$21,"Joining Soon")</f>
        <v>2</v>
      </c>
      <c r="E55" s="8"/>
      <c r="F55" s="21"/>
    </row>
    <row r="57" spans="1:6" x14ac:dyDescent="0.3">
      <c r="A57" s="19" t="s">
        <v>206</v>
      </c>
      <c r="B57" s="19"/>
      <c r="C57" s="19"/>
      <c r="D57" s="19"/>
      <c r="E57" s="19"/>
      <c r="F57" s="19"/>
    </row>
    <row r="58" spans="1:6" x14ac:dyDescent="0.3">
      <c r="A58" s="5" t="s">
        <v>207</v>
      </c>
      <c r="B58" s="33">
        <v>12345.678</v>
      </c>
      <c r="C58" s="5"/>
      <c r="D58" s="34">
        <f>ROUND(B58,2)</f>
        <v>12345.68</v>
      </c>
      <c r="E58" s="8"/>
      <c r="F58" s="21"/>
    </row>
    <row r="59" spans="1:6" x14ac:dyDescent="0.3">
      <c r="A59" s="5" t="s">
        <v>208</v>
      </c>
      <c r="B59" s="35">
        <f>B58</f>
        <v>12345.678</v>
      </c>
      <c r="C59" s="5"/>
      <c r="D59" s="22">
        <f>ROUND(B59,-1)</f>
        <v>12350</v>
      </c>
      <c r="E59" s="8"/>
      <c r="F59" s="21"/>
    </row>
    <row r="60" spans="1:6" x14ac:dyDescent="0.3">
      <c r="A60" s="5" t="s">
        <v>209</v>
      </c>
      <c r="B60" s="35">
        <f>B58</f>
        <v>12345.678</v>
      </c>
      <c r="C60" s="5"/>
      <c r="D60" s="22">
        <f>CEILING(B60,Settings!$B$24)</f>
        <v>12350</v>
      </c>
      <c r="E60" s="8"/>
      <c r="F60" s="21"/>
    </row>
    <row r="61" spans="1:6" x14ac:dyDescent="0.3">
      <c r="A61" s="5" t="s">
        <v>210</v>
      </c>
      <c r="B61" s="35">
        <f>B58</f>
        <v>12345.678</v>
      </c>
      <c r="C61" s="5"/>
      <c r="D61" s="22">
        <f>FLOOR(B61,Settings!$B$24)</f>
        <v>12340</v>
      </c>
      <c r="E61" s="8"/>
      <c r="F61" s="21"/>
    </row>
    <row r="62" spans="1:6" x14ac:dyDescent="0.3">
      <c r="A62" s="5" t="s">
        <v>211</v>
      </c>
      <c r="B62" s="35">
        <f>B58</f>
        <v>12345.678</v>
      </c>
      <c r="C62" s="5"/>
      <c r="D62" s="34">
        <f>ROUND(B62*Settings!$B$23,2)</f>
        <v>2222.2199999999998</v>
      </c>
      <c r="E62" s="8"/>
      <c r="F62" s="21"/>
    </row>
    <row r="63" spans="1:6" x14ac:dyDescent="0.3">
      <c r="A63" s="5" t="s">
        <v>212</v>
      </c>
      <c r="B63" s="35">
        <f>B58</f>
        <v>12345.678</v>
      </c>
      <c r="C63" s="5"/>
      <c r="D63" s="34">
        <f>ROUND(B63*(1+Settings!$B$23),2)</f>
        <v>14567.9</v>
      </c>
      <c r="E63" s="8"/>
      <c r="F63" s="21"/>
    </row>
    <row r="65" spans="1:6" x14ac:dyDescent="0.3">
      <c r="A65" s="19" t="s">
        <v>213</v>
      </c>
      <c r="B65" s="19"/>
      <c r="C65" s="19"/>
      <c r="D65" s="19"/>
      <c r="E65" s="19"/>
      <c r="F65" s="19"/>
    </row>
    <row r="66" spans="1:6" ht="30" customHeight="1" x14ac:dyDescent="0.3">
      <c r="A66" s="3" t="s">
        <v>214</v>
      </c>
      <c r="B66" s="3" t="s">
        <v>52</v>
      </c>
      <c r="C66" s="3" t="s">
        <v>57</v>
      </c>
      <c r="D66" s="3" t="s">
        <v>58</v>
      </c>
      <c r="E66" s="3" t="s">
        <v>4</v>
      </c>
      <c r="F66" s="3" t="s">
        <v>215</v>
      </c>
    </row>
    <row r="67" spans="1:6" x14ac:dyDescent="0.3">
      <c r="A67" s="6">
        <v>1</v>
      </c>
      <c r="B67" s="8" t="str">
        <f>INDEX(Students!$B$2:$B$21,MATCH($A67,Students!$K$2:$K$21,0))</f>
        <v>Student 13</v>
      </c>
      <c r="C67" s="8">
        <f>INDEX(Students!$G$2:$G$21,MATCH($A67,Students!$K$2:$K$21,0))</f>
        <v>285</v>
      </c>
      <c r="D67" s="14">
        <f>INDEX(Students!$H$2:$H$21,MATCH($A67,Students!$K$2:$K$21,0))</f>
        <v>95</v>
      </c>
      <c r="E67" s="8" t="str">
        <f>INDEX(Students!$I$2:$I$21,MATCH($A67,Students!$K$2:$K$21,0))</f>
        <v>A+</v>
      </c>
      <c r="F67" s="8" t="str">
        <f>INDEX(Students!$J$2:$J$21,MATCH($A67,Students!$K$2:$K$21,0))</f>
        <v>Yes</v>
      </c>
    </row>
    <row r="68" spans="1:6" x14ac:dyDescent="0.3">
      <c r="A68" s="6">
        <v>2</v>
      </c>
      <c r="B68" s="8" t="str">
        <f>INDEX(Students!$B$2:$B$21,MATCH($A68,Students!$K$2:$K$21,0))</f>
        <v>Student 12</v>
      </c>
      <c r="C68" s="8">
        <f>INDEX(Students!$G$2:$G$21,MATCH($A68,Students!$K$2:$K$21,0))</f>
        <v>253</v>
      </c>
      <c r="D68" s="14">
        <f>INDEX(Students!$H$2:$H$21,MATCH($A68,Students!$K$2:$K$21,0))</f>
        <v>84.33</v>
      </c>
      <c r="E68" s="8" t="str">
        <f>INDEX(Students!$I$2:$I$21,MATCH($A68,Students!$K$2:$K$21,0))</f>
        <v>A</v>
      </c>
      <c r="F68" s="8" t="str">
        <f>INDEX(Students!$J$2:$J$21,MATCH($A68,Students!$K$2:$K$21,0))</f>
        <v>Yes</v>
      </c>
    </row>
    <row r="69" spans="1:6" x14ac:dyDescent="0.3">
      <c r="A69" s="6">
        <v>3</v>
      </c>
      <c r="B69" s="8" t="str">
        <f>INDEX(Students!$B$2:$B$21,MATCH($A69,Students!$K$2:$K$21,0))</f>
        <v>Student 16</v>
      </c>
      <c r="C69" s="8">
        <f>INDEX(Students!$G$2:$G$21,MATCH($A69,Students!$K$2:$K$21,0))</f>
        <v>235</v>
      </c>
      <c r="D69" s="14">
        <f>INDEX(Students!$H$2:$H$21,MATCH($A69,Students!$K$2:$K$21,0))</f>
        <v>78.33</v>
      </c>
      <c r="E69" s="8" t="str">
        <f>INDEX(Students!$I$2:$I$21,MATCH($A69,Students!$K$2:$K$21,0))</f>
        <v>B</v>
      </c>
      <c r="F69" s="8" t="str">
        <f>INDEX(Students!$J$2:$J$21,MATCH($A69,Students!$K$2:$K$21,0))</f>
        <v>No</v>
      </c>
    </row>
    <row r="70" spans="1:6" x14ac:dyDescent="0.3">
      <c r="A70" s="6">
        <v>4</v>
      </c>
      <c r="B70" s="8" t="str">
        <f>INDEX(Students!$B$2:$B$21,MATCH($A70,Students!$K$2:$K$21,0))</f>
        <v>Student 20</v>
      </c>
      <c r="C70" s="8">
        <f>INDEX(Students!$G$2:$G$21,MATCH($A70,Students!$K$2:$K$21,0))</f>
        <v>230</v>
      </c>
      <c r="D70" s="14">
        <f>INDEX(Students!$H$2:$H$21,MATCH($A70,Students!$K$2:$K$21,0))</f>
        <v>76.67</v>
      </c>
      <c r="E70" s="8" t="str">
        <f>INDEX(Students!$I$2:$I$21,MATCH($A70,Students!$K$2:$K$21,0))</f>
        <v>B</v>
      </c>
      <c r="F70" s="8" t="str">
        <f>INDEX(Students!$J$2:$J$21,MATCH($A70,Students!$K$2:$K$21,0))</f>
        <v>Yes</v>
      </c>
    </row>
    <row r="71" spans="1:6" x14ac:dyDescent="0.3">
      <c r="A71" s="6">
        <v>5</v>
      </c>
      <c r="B71" s="8" t="str">
        <f>INDEX(Students!$B$2:$B$21,MATCH($A71,Students!$K$2:$K$21,0))</f>
        <v>Student 19</v>
      </c>
      <c r="C71" s="8">
        <f>INDEX(Students!$G$2:$G$21,MATCH($A71,Students!$K$2:$K$21,0))</f>
        <v>228</v>
      </c>
      <c r="D71" s="14">
        <f>INDEX(Students!$H$2:$H$21,MATCH($A71,Students!$K$2:$K$21,0))</f>
        <v>76</v>
      </c>
      <c r="E71" s="8" t="str">
        <f>INDEX(Students!$I$2:$I$21,MATCH($A71,Students!$K$2:$K$21,0))</f>
        <v>B</v>
      </c>
      <c r="F71" s="8" t="str">
        <f>INDEX(Students!$J$2:$J$21,MATCH($A71,Students!$K$2:$K$21,0))</f>
        <v>No</v>
      </c>
    </row>
    <row r="73" spans="1:6" x14ac:dyDescent="0.3">
      <c r="A7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Price_List</vt:lpstr>
      <vt:lpstr>Students</vt:lpstr>
      <vt:lpstr>Sales</vt:lpstr>
      <vt:lpstr>Employees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Yaksh Patel</cp:lastModifiedBy>
  <dcterms:created xsi:type="dcterms:W3CDTF">2026-10-14T13:03:26Z</dcterms:created>
  <dcterms:modified xsi:type="dcterms:W3CDTF">2026-10-15T05:51:12Z</dcterms:modified>
</cp:coreProperties>
</file>